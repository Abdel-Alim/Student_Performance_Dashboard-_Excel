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E:\instant AI\data Analysis\projectdata\"/>
    </mc:Choice>
  </mc:AlternateContent>
  <xr:revisionPtr revIDLastSave="0" documentId="8_{6CE09F6D-B2FA-487F-AA7A-24903E4841B5}" xr6:coauthVersionLast="47" xr6:coauthVersionMax="47" xr10:uidLastSave="{00000000-0000-0000-0000-000000000000}"/>
  <bookViews>
    <workbookView xWindow="-108" yWindow="-108" windowWidth="23256" windowHeight="12576" activeTab="2" xr2:uid="{00000000-000D-0000-FFFF-FFFF00000000}"/>
  </bookViews>
  <sheets>
    <sheet name="Sheet1" sheetId="1" r:id="rId1"/>
    <sheet name="pivot table" sheetId="3" r:id="rId2"/>
    <sheet name="Dashboard" sheetId="4" r:id="rId3"/>
  </sheets>
  <definedNames>
    <definedName name="Slicer_Gender">#N/A</definedName>
    <definedName name="Slicer_Pass">#N/A</definedName>
    <definedName name="Slicer_School">#N/A</definedName>
    <definedName name="Slicer_Subject">#N/A</definedName>
    <definedName name="Slicer_Teacher">#N/A</definedName>
  </definedNames>
  <calcPr calcId="191029"/>
  <pivotCaches>
    <pivotCache cacheId="2"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O150" i="3" l="1"/>
  <c r="O148" i="3"/>
  <c r="B10" i="3"/>
  <c r="L4" i="3"/>
  <c r="L8" i="3"/>
  <c r="G7" i="3"/>
  <c r="X4" i="3"/>
</calcChain>
</file>

<file path=xl/sharedStrings.xml><?xml version="1.0" encoding="utf-8"?>
<sst xmlns="http://schemas.openxmlformats.org/spreadsheetml/2006/main" count="9104" uniqueCount="2060">
  <si>
    <t>Student ID</t>
  </si>
  <si>
    <t>Name</t>
  </si>
  <si>
    <t>Gender</t>
  </si>
  <si>
    <t>Age</t>
  </si>
  <si>
    <t>School</t>
  </si>
  <si>
    <t>Class</t>
  </si>
  <si>
    <t>Subject</t>
  </si>
  <si>
    <t>Exam Type</t>
  </si>
  <si>
    <t>Score</t>
  </si>
  <si>
    <t>Teacher</t>
  </si>
  <si>
    <t>Pass</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</si>
  <si>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</si>
  <si>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</si>
  <si>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</si>
  <si>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</si>
  <si>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</si>
  <si>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</si>
  <si>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</si>
  <si>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</si>
  <si>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</si>
  <si>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</si>
  <si>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</si>
  <si>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</si>
  <si>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</si>
  <si>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</si>
  <si>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</si>
  <si>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</si>
  <si>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</si>
  <si>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</si>
  <si>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</si>
  <si>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</si>
  <si>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</si>
  <si>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</si>
  <si>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</si>
  <si>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</si>
  <si>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</si>
  <si>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</si>
  <si>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</si>
  <si>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</si>
  <si>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</si>
  <si>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</si>
  <si>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</si>
  <si>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</si>
  <si>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</si>
  <si>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</si>
  <si>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</si>
  <si>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</si>
  <si>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</si>
  <si>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</si>
  <si>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</si>
  <si>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</si>
  <si>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</si>
  <si>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</si>
  <si>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</si>
  <si>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</si>
  <si>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</si>
  <si>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</si>
  <si>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</si>
  <si>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</si>
  <si>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</si>
  <si>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</si>
  <si>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</si>
  <si>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</si>
  <si>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</si>
  <si>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</si>
  <si>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</si>
  <si>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</si>
  <si>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</si>
  <si>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</si>
  <si>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</si>
  <si>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</si>
  <si>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</si>
  <si>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</si>
  <si>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</si>
  <si>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</si>
  <si>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</si>
  <si>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</si>
  <si>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</si>
  <si>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</si>
  <si>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</si>
  <si>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</si>
  <si>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</si>
  <si>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</si>
  <si>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</si>
  <si>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</si>
  <si>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</si>
  <si>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</si>
  <si>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</si>
  <si>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</si>
  <si>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</si>
  <si>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</si>
  <si>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</si>
  <si>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</si>
  <si>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</si>
  <si>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</si>
  <si>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</si>
  <si>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</si>
  <si>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</si>
  <si>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</si>
  <si>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</si>
  <si>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</si>
  <si>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</si>
  <si>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</si>
  <si>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</si>
  <si>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</si>
  <si>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</si>
  <si>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</si>
  <si>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</si>
  <si>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</si>
  <si>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</si>
  <si>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</si>
  <si>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</si>
  <si>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</si>
  <si>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</si>
  <si>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</si>
  <si>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</si>
  <si>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</si>
  <si>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</si>
  <si>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</si>
  <si>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</si>
  <si>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</si>
  <si>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</si>
  <si>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</si>
  <si>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</si>
  <si>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</si>
  <si>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</si>
  <si>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</si>
  <si>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</si>
  <si>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</si>
  <si>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</si>
  <si>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</si>
  <si>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</si>
  <si>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</si>
  <si>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</si>
  <si>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</si>
  <si>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</si>
  <si>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</si>
  <si>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</si>
  <si>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</si>
  <si>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</si>
  <si>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</si>
  <si>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</si>
  <si>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</si>
  <si>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</si>
  <si>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</si>
  <si>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</si>
  <si>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</si>
  <si>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</si>
  <si>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</si>
  <si>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</si>
  <si>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</si>
  <si>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</si>
  <si>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</si>
  <si>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</si>
  <si>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</si>
  <si>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</si>
  <si>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</si>
  <si>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</si>
  <si>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</si>
  <si>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</si>
  <si>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</si>
  <si>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</si>
  <si>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</si>
  <si>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</si>
  <si>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</si>
  <si>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</si>
  <si>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</si>
  <si>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</si>
  <si>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</si>
  <si>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</si>
  <si>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</si>
  <si>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</si>
  <si>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</si>
  <si>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</si>
  <si>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</si>
  <si>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</si>
  <si>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</si>
  <si>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</si>
  <si>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</si>
  <si>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</si>
  <si>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</si>
  <si>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</si>
  <si>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</si>
  <si>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</si>
  <si>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</si>
  <si>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</si>
  <si>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</si>
  <si>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</si>
  <si>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</si>
  <si>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</si>
  <si>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</si>
  <si>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</si>
  <si>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</si>
  <si>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</si>
  <si>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</si>
  <si>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</si>
  <si>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</si>
  <si>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</si>
  <si>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</si>
  <si>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</si>
  <si>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</si>
  <si>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</si>
  <si>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</si>
  <si>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</si>
  <si>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</si>
  <si>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</si>
  <si>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</si>
  <si>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</si>
  <si>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</si>
  <si>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</si>
  <si>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</si>
  <si>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</si>
  <si>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</si>
  <si>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</si>
  <si>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</si>
  <si>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</si>
  <si>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</si>
  <si>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</si>
  <si>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</si>
  <si>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</si>
  <si>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</si>
  <si>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</si>
  <si>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</si>
  <si>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</si>
  <si>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</si>
  <si>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</si>
  <si>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</si>
  <si>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</si>
  <si>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</si>
  <si>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</si>
  <si>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</si>
  <si>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</si>
  <si>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</si>
  <si>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</si>
  <si>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</si>
  <si>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</si>
  <si>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</si>
  <si>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</si>
  <si>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</si>
  <si>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</si>
  <si>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</si>
  <si>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</si>
  <si>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</si>
  <si>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</si>
  <si>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</si>
  <si>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</si>
  <si>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</si>
  <si>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</si>
  <si>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</si>
  <si>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</si>
  <si>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</si>
  <si>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</si>
  <si>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</si>
  <si>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</si>
  <si>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</si>
  <si>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</si>
  <si>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</si>
  <si>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</si>
  <si>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</si>
  <si>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</si>
  <si>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</si>
  <si>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</si>
  <si>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</si>
  <si>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</si>
  <si>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</si>
  <si>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</si>
  <si>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</si>
  <si>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</si>
  <si>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</si>
  <si>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</si>
  <si>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</si>
  <si>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</si>
  <si>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</si>
  <si>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</si>
  <si>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</si>
  <si>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</si>
  <si>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</si>
  <si>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</si>
  <si>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</si>
  <si>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</si>
  <si>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</si>
  <si>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</si>
  <si>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</si>
  <si>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</si>
  <si>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</si>
  <si>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</si>
  <si>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</si>
  <si>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</si>
  <si>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</si>
  <si>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</si>
  <si>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</si>
  <si>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</si>
  <si>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</si>
  <si>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</si>
  <si>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</si>
  <si>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</si>
  <si>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</si>
  <si>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</si>
  <si>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</si>
  <si>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</si>
  <si>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</si>
  <si>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</si>
  <si>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</si>
  <si>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</si>
  <si>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</si>
  <si>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</si>
  <si>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</si>
  <si>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</si>
  <si>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</si>
  <si>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</si>
  <si>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</si>
  <si>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</si>
  <si>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</si>
  <si>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</si>
  <si>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</si>
  <si>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</si>
  <si>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</si>
  <si>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</si>
  <si>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</si>
  <si>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</si>
  <si>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</si>
  <si>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</si>
  <si>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</si>
  <si>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</si>
  <si>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</si>
  <si>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</si>
  <si>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</si>
  <si>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</si>
  <si>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</si>
  <si>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</si>
  <si>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</si>
  <si>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</si>
  <si>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</si>
  <si>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</si>
  <si>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</si>
  <si>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</si>
  <si>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</si>
  <si>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</si>
  <si>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</si>
  <si>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</si>
  <si>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</si>
  <si>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</si>
  <si>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</si>
  <si>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</si>
  <si>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</si>
  <si>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</si>
  <si>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</si>
  <si>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</si>
  <si>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</si>
  <si>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</si>
  <si>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</si>
  <si>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</si>
  <si>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</si>
  <si>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</si>
  <si>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</si>
  <si>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</si>
  <si>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</si>
  <si>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</si>
  <si>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</si>
  <si>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</si>
  <si>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</si>
  <si>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</si>
  <si>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</si>
  <si>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</si>
  <si>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</si>
  <si>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</si>
  <si>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</si>
  <si>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</si>
  <si>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</si>
  <si>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</si>
  <si>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</si>
  <si>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</si>
  <si>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</si>
  <si>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</si>
  <si>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</si>
  <si>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</si>
  <si>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</si>
  <si>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</si>
  <si>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</si>
  <si>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</si>
  <si>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</si>
  <si>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</si>
  <si>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</si>
  <si>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</si>
  <si>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</si>
  <si>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</si>
  <si>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</si>
  <si>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</si>
  <si>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</si>
  <si>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</si>
  <si>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</si>
  <si>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</si>
  <si>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</si>
  <si>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</si>
  <si>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</si>
  <si>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</si>
  <si>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</si>
  <si>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</si>
  <si>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</si>
  <si>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</si>
  <si>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</si>
  <si>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</si>
  <si>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</si>
  <si>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</si>
  <si>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</si>
  <si>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</si>
  <si>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</si>
  <si>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</si>
  <si>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</si>
  <si>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</si>
  <si>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</si>
  <si>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</si>
  <si>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</si>
  <si>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</si>
  <si>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</si>
  <si>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</si>
  <si>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</si>
  <si>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</si>
  <si>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</si>
  <si>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</si>
  <si>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</si>
  <si>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</si>
  <si>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</si>
  <si>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</si>
  <si>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</si>
  <si>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</si>
  <si>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</si>
  <si>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</si>
  <si>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</si>
  <si>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</si>
  <si>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</si>
  <si>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</si>
  <si>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</si>
  <si>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</si>
  <si>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</si>
  <si>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</si>
  <si>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</si>
  <si>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</si>
  <si>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</si>
  <si>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</si>
  <si>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</si>
  <si>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</si>
  <si>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</si>
  <si>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</si>
  <si>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</si>
  <si>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</si>
  <si>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</si>
  <si>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</si>
  <si>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</si>
  <si>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</si>
  <si>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</si>
  <si>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</si>
  <si>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</si>
  <si>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</si>
  <si>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</si>
  <si>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</si>
  <si>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</si>
  <si>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</si>
  <si>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</si>
  <si>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</si>
  <si>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</si>
  <si>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</si>
  <si>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</si>
  <si>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</si>
  <si>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</si>
  <si>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</si>
  <si>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</si>
  <si>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</si>
  <si>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</si>
  <si>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</si>
  <si>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</si>
  <si>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</si>
  <si>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</si>
  <si>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</si>
  <si>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</si>
  <si>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</si>
  <si>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</si>
  <si>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</si>
  <si>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</si>
  <si>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</si>
  <si>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</si>
  <si>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</si>
  <si>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</si>
  <si>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</si>
  <si>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</si>
  <si>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</si>
  <si>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</si>
  <si>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</si>
  <si>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</si>
  <si>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</si>
  <si>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</si>
  <si>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</si>
  <si>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</si>
  <si>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</si>
  <si>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</si>
  <si>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</si>
  <si>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</si>
  <si>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</si>
  <si>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</si>
  <si>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</si>
  <si>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</si>
  <si>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</si>
  <si>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</si>
  <si>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</si>
  <si>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</si>
  <si>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</si>
  <si>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</si>
  <si>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</si>
  <si>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</si>
  <si>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</si>
  <si>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</si>
  <si>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</si>
  <si>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</si>
  <si>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</si>
  <si>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</si>
  <si>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</si>
  <si>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</si>
  <si>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</si>
  <si>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</si>
  <si>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</si>
  <si>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</si>
  <si>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</si>
  <si>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</si>
  <si>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</si>
  <si>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</si>
  <si>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</si>
  <si>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</si>
  <si>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</si>
  <si>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</si>
  <si>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</si>
  <si>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</si>
  <si>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</si>
  <si>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</si>
  <si>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</si>
  <si>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</si>
  <si>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</si>
  <si>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</si>
  <si>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</si>
  <si>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</si>
  <si>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</si>
  <si>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</si>
  <si>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</si>
  <si>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</si>
  <si>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</si>
  <si>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</si>
  <si>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</si>
  <si>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</si>
  <si>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</si>
  <si>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</si>
  <si>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</si>
  <si>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</si>
  <si>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</si>
  <si>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</si>
  <si>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</si>
  <si>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</si>
  <si>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</si>
  <si>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</si>
  <si>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</si>
  <si>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</si>
  <si>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</si>
  <si>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</si>
  <si>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</si>
  <si>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</si>
  <si>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</si>
  <si>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</si>
  <si>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</si>
  <si>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</si>
  <si>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</si>
  <si>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</si>
  <si>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</si>
  <si>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</si>
  <si>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</si>
  <si>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</si>
  <si>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</si>
  <si>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</si>
  <si>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</si>
  <si>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</si>
  <si>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</si>
  <si>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</si>
  <si>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</si>
  <si>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</si>
  <si>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</si>
  <si>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</si>
  <si>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</si>
  <si>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</si>
  <si>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</si>
  <si>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</si>
  <si>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</si>
  <si>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</si>
  <si>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</si>
  <si>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</si>
  <si>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</si>
  <si>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</si>
  <si>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</si>
  <si>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</si>
  <si>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</si>
  <si>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</si>
  <si>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</si>
  <si>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</si>
  <si>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</si>
  <si>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</si>
  <si>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</si>
  <si>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</si>
  <si>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</si>
  <si>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</si>
  <si>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</si>
  <si>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</si>
  <si>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</si>
  <si>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</si>
  <si>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</si>
  <si>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</si>
  <si>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</si>
  <si>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</si>
  <si>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</si>
  <si>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</si>
  <si>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</si>
  <si>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</si>
  <si>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</si>
  <si>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</si>
  <si>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</si>
  <si>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</si>
  <si>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</si>
  <si>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</si>
  <si>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</si>
  <si>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</si>
  <si>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</si>
  <si>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</si>
  <si>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</si>
  <si>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</si>
  <si>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</si>
  <si>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</si>
  <si>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</si>
  <si>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</si>
  <si>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</si>
  <si>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</si>
  <si>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</si>
  <si>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</si>
  <si>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</si>
  <si>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</si>
  <si>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</si>
  <si>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</si>
  <si>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</si>
  <si>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</si>
  <si>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</si>
  <si>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</si>
  <si>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</si>
  <si>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</si>
  <si>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</si>
  <si>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</si>
  <si>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</si>
  <si>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</si>
  <si>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</si>
  <si>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</si>
  <si>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</si>
  <si>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</si>
  <si>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</si>
  <si>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</si>
  <si>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</si>
  <si>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</si>
  <si>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</si>
  <si>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</si>
  <si>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</si>
  <si>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</si>
  <si>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</si>
  <si>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</si>
  <si>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</si>
  <si>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</si>
  <si>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</si>
  <si>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</si>
  <si>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</si>
  <si>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</si>
  <si>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</si>
  <si>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</si>
  <si>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</si>
  <si>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</si>
  <si>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</si>
  <si>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</si>
  <si>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</si>
  <si>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</si>
  <si>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</si>
  <si>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</si>
  <si>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</si>
  <si>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</si>
  <si>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</si>
  <si>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</si>
  <si>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</si>
  <si>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</si>
  <si>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</si>
  <si>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</si>
  <si>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</si>
  <si>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</si>
  <si>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</si>
  <si>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</si>
  <si>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</si>
  <si>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</si>
  <si>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</si>
  <si>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</si>
  <si>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</si>
  <si>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</si>
  <si>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</si>
  <si>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</si>
  <si>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</si>
  <si>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</si>
  <si>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</si>
  <si>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</si>
  <si>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</si>
  <si>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</si>
  <si>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</si>
  <si>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</si>
  <si>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</si>
  <si>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</si>
  <si>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</si>
  <si>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</si>
  <si>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</si>
  <si>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</si>
  <si>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</si>
  <si>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</si>
  <si>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</si>
  <si>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</si>
  <si>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</si>
  <si>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</si>
  <si>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</si>
  <si>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</si>
  <si>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</si>
  <si>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</si>
  <si>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</si>
  <si>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</si>
  <si>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</si>
  <si>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</si>
  <si>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</si>
  <si>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</si>
  <si>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</si>
  <si>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</si>
  <si>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</si>
  <si>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</si>
  <si>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</si>
  <si>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</si>
  <si>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</si>
  <si>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</si>
  <si>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</si>
  <si>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</si>
  <si>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</si>
  <si>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</si>
  <si>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</si>
  <si>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</si>
  <si>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</si>
  <si>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</si>
  <si>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</si>
  <si>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</si>
  <si>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</si>
  <si>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</si>
  <si>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</si>
  <si>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</si>
  <si>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</si>
  <si>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</si>
  <si>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</si>
  <si>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</si>
  <si>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</si>
  <si>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</si>
  <si>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</si>
  <si>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</si>
  <si>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</si>
  <si>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</si>
  <si>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</si>
  <si>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</si>
  <si>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</si>
  <si>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</si>
  <si>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</si>
  <si>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</si>
  <si>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</si>
  <si>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</si>
  <si>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</si>
  <si>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</si>
  <si>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</si>
  <si>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</si>
  <si>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</si>
  <si>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</si>
  <si>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</si>
  <si>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</si>
  <si>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</si>
  <si>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</si>
  <si>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</si>
  <si>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</si>
  <si>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</si>
  <si>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</si>
  <si>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</si>
  <si>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</si>
  <si>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</si>
  <si>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</si>
  <si>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</si>
  <si>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</si>
  <si>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</si>
  <si>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</si>
  <si>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</si>
  <si>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</si>
  <si>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</si>
  <si>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</si>
  <si>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</si>
  <si>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</si>
  <si>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</si>
  <si>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</si>
  <si>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</si>
  <si>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</si>
  <si>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</si>
  <si>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</si>
  <si>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</si>
  <si>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</si>
  <si>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</si>
  <si>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</si>
  <si>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</si>
  <si>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</si>
  <si>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</si>
  <si>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</si>
  <si>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</si>
  <si>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</si>
  <si>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</si>
  <si>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</si>
  <si>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</si>
  <si>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</si>
  <si>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</si>
  <si>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</si>
  <si>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</si>
  <si>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</si>
  <si>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</si>
  <si>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</si>
  <si>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</si>
  <si>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</si>
  <si>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</si>
  <si>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</si>
  <si>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</si>
  <si>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</si>
  <si>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</si>
  <si>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</si>
  <si>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</si>
  <si>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</si>
  <si>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</si>
  <si>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</si>
  <si>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</si>
  <si>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</si>
  <si>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</si>
  <si>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</si>
  <si>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</si>
  <si>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</si>
  <si>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</si>
  <si>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</si>
  <si>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</si>
  <si>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</si>
  <si>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</si>
  <si>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</si>
  <si>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</si>
  <si>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</si>
  <si>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</si>
  <si>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</si>
  <si>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</si>
  <si>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</si>
  <si>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</si>
  <si>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</si>
  <si>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</si>
  <si>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</si>
  <si>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</si>
  <si>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</si>
  <si>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</si>
  <si>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</si>
  <si>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</si>
  <si>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</si>
  <si>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</si>
  <si>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</si>
  <si>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</si>
  <si>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</si>
  <si>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</si>
  <si>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</si>
  <si>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</si>
  <si>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</si>
  <si>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</si>
  <si>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</si>
  <si>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</si>
  <si>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</si>
  <si>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</si>
  <si>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</si>
  <si>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</si>
  <si>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</si>
  <si>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</si>
  <si>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</si>
  <si>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</si>
  <si>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</si>
  <si>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</si>
  <si>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</si>
  <si>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</si>
  <si>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</si>
  <si>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</si>
  <si>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</si>
  <si>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</si>
  <si>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</si>
  <si>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</si>
  <si>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</si>
  <si>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</si>
  <si>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</si>
  <si>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</si>
  <si>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</si>
  <si>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</si>
  <si>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</si>
  <si>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</si>
  <si>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</si>
  <si>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</si>
  <si>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</si>
  <si>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</si>
  <si>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</si>
  <si>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</si>
  <si>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</si>
  <si>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</si>
  <si>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</si>
  <si>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</si>
  <si>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</si>
  <si>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</si>
  <si>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</si>
  <si>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</si>
  <si>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</si>
  <si>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</si>
  <si>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</si>
  <si>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</si>
  <si>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</si>
  <si>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</si>
  <si>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</si>
  <si>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</si>
  <si>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</si>
  <si>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</si>
  <si>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</si>
  <si>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</si>
  <si>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</si>
  <si>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</si>
  <si>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</si>
  <si>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</si>
  <si>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</si>
  <si>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</si>
  <si>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</si>
  <si>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</si>
  <si>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</si>
  <si>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</si>
  <si>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</si>
  <si>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</si>
  <si>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</si>
  <si>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</si>
  <si>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</si>
  <si>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</si>
  <si>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</si>
  <si>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</si>
  <si>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</si>
  <si>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</si>
  <si>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</si>
  <si>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</si>
  <si>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</si>
  <si>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</si>
  <si>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</si>
  <si>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</si>
  <si>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</si>
  <si>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</si>
  <si>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</si>
  <si>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</si>
  <si>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</si>
  <si>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</si>
  <si>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</si>
  <si>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</si>
  <si>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</si>
  <si>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</si>
  <si>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</si>
  <si>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</si>
  <si>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</si>
  <si>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</si>
  <si>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</si>
  <si>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</si>
  <si>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</si>
  <si>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</si>
  <si>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</si>
  <si>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</si>
  <si>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</si>
  <si>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</si>
  <si>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</si>
  <si>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</si>
  <si>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</si>
  <si>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</si>
  <si>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</si>
  <si>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</si>
  <si>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</si>
  <si>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</si>
  <si>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</si>
  <si>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</si>
  <si>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</si>
  <si>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</si>
  <si>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</si>
  <si>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</si>
  <si>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</si>
  <si>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</si>
  <si>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</si>
  <si>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</si>
  <si>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</si>
  <si>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</si>
  <si>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</si>
  <si>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</si>
  <si>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</si>
  <si>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</si>
  <si>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</si>
  <si>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</si>
  <si>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</si>
  <si>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</si>
  <si>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</si>
  <si>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</si>
  <si>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</si>
  <si>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</si>
  <si>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</si>
  <si>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</si>
  <si>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</si>
  <si>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Karen Alvarado</t>
  </si>
  <si>
    <t>William Miller</t>
  </si>
  <si>
    <t>Jessica Graham</t>
  </si>
  <si>
    <t>Mr. Michael Page DDS</t>
  </si>
  <si>
    <t>Daniel Vasquez</t>
  </si>
  <si>
    <t>Andrew Torres</t>
  </si>
  <si>
    <t>Thomas Robertson</t>
  </si>
  <si>
    <t>James Clark</t>
  </si>
  <si>
    <t>Jennifer Hale</t>
  </si>
  <si>
    <t>Danielle Lee</t>
  </si>
  <si>
    <t>Benjamin Duffy</t>
  </si>
  <si>
    <t>Teresa Patterson</t>
  </si>
  <si>
    <t>Alexandra Hernandez</t>
  </si>
  <si>
    <t>Christopher Smith</t>
  </si>
  <si>
    <t>Victoria George</t>
  </si>
  <si>
    <t>Michelle Johnson</t>
  </si>
  <si>
    <t>Danielle Campos</t>
  </si>
  <si>
    <t>Jean Lewis</t>
  </si>
  <si>
    <t>Jackie Chapman</t>
  </si>
  <si>
    <t>Gabriella Weber</t>
  </si>
  <si>
    <t>Juan Matthews</t>
  </si>
  <si>
    <t>Mary Graves</t>
  </si>
  <si>
    <t>Austin Lloyd</t>
  </si>
  <si>
    <t>Adam Chavez</t>
  </si>
  <si>
    <t>Susan Walker</t>
  </si>
  <si>
    <t>Billy Jackson</t>
  </si>
  <si>
    <t>Amy Austin MD</t>
  </si>
  <si>
    <t>Angela Phillips</t>
  </si>
  <si>
    <t>Melvin Smith</t>
  </si>
  <si>
    <t>Michelle Macias</t>
  </si>
  <si>
    <t>Patrick Richards</t>
  </si>
  <si>
    <t>Dr. Steven Pittman MD</t>
  </si>
  <si>
    <t>Susan Ortiz</t>
  </si>
  <si>
    <t>Kathy Perry</t>
  </si>
  <si>
    <t>Kathryn Spencer</t>
  </si>
  <si>
    <t>Robert Hanson</t>
  </si>
  <si>
    <t>Carlos Jenkins</t>
  </si>
  <si>
    <t>John Burke</t>
  </si>
  <si>
    <t>Gabriel Perez</t>
  </si>
  <si>
    <t>Nicholas Ross</t>
  </si>
  <si>
    <t>Jessica Cannon</t>
  </si>
  <si>
    <t>Zachary Richard</t>
  </si>
  <si>
    <t>Eugene Stevens</t>
  </si>
  <si>
    <t>Victoria Delacruz</t>
  </si>
  <si>
    <t>Lynn Carroll</t>
  </si>
  <si>
    <t>Matthew Morrison</t>
  </si>
  <si>
    <t>Shane Nichols</t>
  </si>
  <si>
    <t>Timothy Kirk</t>
  </si>
  <si>
    <t>Nicholas Rodriguez DDS</t>
  </si>
  <si>
    <t>Jill Hartman</t>
  </si>
  <si>
    <t>Eric Long</t>
  </si>
  <si>
    <t>Diana Harris</t>
  </si>
  <si>
    <t>Brian Hamilton</t>
  </si>
  <si>
    <t>Jennifer Flores</t>
  </si>
  <si>
    <t>Carol Ramirez</t>
  </si>
  <si>
    <t>Mason Lewis</t>
  </si>
  <si>
    <t>Brenda Barnes</t>
  </si>
  <si>
    <t>Elizabeth Ho</t>
  </si>
  <si>
    <t>Kelsey Smith</t>
  </si>
  <si>
    <t>Julie Montgomery</t>
  </si>
  <si>
    <t>Olivia Ballard</t>
  </si>
  <si>
    <t>Ryan Gonzales</t>
  </si>
  <si>
    <t>Molly Joseph</t>
  </si>
  <si>
    <t>Lisa May</t>
  </si>
  <si>
    <t>Robert Garrett</t>
  </si>
  <si>
    <t>Emily Wilson</t>
  </si>
  <si>
    <t>Charles Andrews</t>
  </si>
  <si>
    <t>Stephanie Thomas</t>
  </si>
  <si>
    <t>Edgar Baker</t>
  </si>
  <si>
    <t>Brad Jones</t>
  </si>
  <si>
    <t>Edward Smith</t>
  </si>
  <si>
    <t>Kara Holland</t>
  </si>
  <si>
    <t>Douglas Kane</t>
  </si>
  <si>
    <t>Robin Smith</t>
  </si>
  <si>
    <t>Robert Baker</t>
  </si>
  <si>
    <t>Emma Brown</t>
  </si>
  <si>
    <t>Stacey Tucker</t>
  </si>
  <si>
    <t>Alicia Webb</t>
  </si>
  <si>
    <t>Ashley Landry</t>
  </si>
  <si>
    <t>Amy Everett</t>
  </si>
  <si>
    <t>Jacob Rodriguez</t>
  </si>
  <si>
    <t>Pamela Johnson</t>
  </si>
  <si>
    <t>Jason Cox</t>
  </si>
  <si>
    <t>Caleb Morris</t>
  </si>
  <si>
    <t>Jeremy Peterson</t>
  </si>
  <si>
    <t>Peter Edwards</t>
  </si>
  <si>
    <t>David Oneill</t>
  </si>
  <si>
    <t>Dominique Bruce</t>
  </si>
  <si>
    <t>Linda Douglas</t>
  </si>
  <si>
    <t>Dawn Gomez</t>
  </si>
  <si>
    <t>Sonya Goodwin</t>
  </si>
  <si>
    <t>Andrea Evans</t>
  </si>
  <si>
    <t>Jared Byrd</t>
  </si>
  <si>
    <t>Jessica Taylor</t>
  </si>
  <si>
    <t>John Wolf</t>
  </si>
  <si>
    <t>Dean Munoz</t>
  </si>
  <si>
    <t>Daniel Robinson</t>
  </si>
  <si>
    <t>Andrea Randall</t>
  </si>
  <si>
    <t>Patrick Gutierrez</t>
  </si>
  <si>
    <t>Roy Figueroa</t>
  </si>
  <si>
    <t>Michael Fitzgerald</t>
  </si>
  <si>
    <t>Kayla Phillips</t>
  </si>
  <si>
    <t>Rachel Williams</t>
  </si>
  <si>
    <t>David Perez</t>
  </si>
  <si>
    <t>Joseph Palmer</t>
  </si>
  <si>
    <t>Carrie Snow</t>
  </si>
  <si>
    <t>John Davis</t>
  </si>
  <si>
    <t>Gabriel Molina</t>
  </si>
  <si>
    <t>Michael Jackson</t>
  </si>
  <si>
    <t>Samantha Brooks</t>
  </si>
  <si>
    <t>Dr. Patrick Hoffman</t>
  </si>
  <si>
    <t>Vincent Murray</t>
  </si>
  <si>
    <t>Sally Frank</t>
  </si>
  <si>
    <t>Patrick Campbell</t>
  </si>
  <si>
    <t>Tyler Roman</t>
  </si>
  <si>
    <t>Melissa Diaz</t>
  </si>
  <si>
    <t>Dana Hutchinson</t>
  </si>
  <si>
    <t>Christopher Evans</t>
  </si>
  <si>
    <t>Jordan Dennis</t>
  </si>
  <si>
    <t>Anna Ball</t>
  </si>
  <si>
    <t>Herbert Crane</t>
  </si>
  <si>
    <t>Christopher Liu</t>
  </si>
  <si>
    <t>Michelle Lozano</t>
  </si>
  <si>
    <t>David Wood</t>
  </si>
  <si>
    <t>Natalie Benson</t>
  </si>
  <si>
    <t>Steven White</t>
  </si>
  <si>
    <t>Kevin Mercado</t>
  </si>
  <si>
    <t>Erin Anderson</t>
  </si>
  <si>
    <t>Timothy Santana</t>
  </si>
  <si>
    <t>Kendra Carroll</t>
  </si>
  <si>
    <t>Alexandra Mahoney</t>
  </si>
  <si>
    <t>Stacey Burgess</t>
  </si>
  <si>
    <t>Brittany Potter</t>
  </si>
  <si>
    <t>Jennifer Harris</t>
  </si>
  <si>
    <t>Scott Romero</t>
  </si>
  <si>
    <t>Kathleen Carter</t>
  </si>
  <si>
    <t>James Sweeney</t>
  </si>
  <si>
    <t>Isaiah Wilson</t>
  </si>
  <si>
    <t>Anne Brown</t>
  </si>
  <si>
    <t>Jimmy Lopez</t>
  </si>
  <si>
    <t>Duane Brown</t>
  </si>
  <si>
    <t>Jessica Johnson</t>
  </si>
  <si>
    <t>Kurt Murphy</t>
  </si>
  <si>
    <t>Eric Jackson</t>
  </si>
  <si>
    <t>Joshua Brown</t>
  </si>
  <si>
    <t>Matthew Case</t>
  </si>
  <si>
    <t>Mario Alvarez</t>
  </si>
  <si>
    <t>Kevin Patel</t>
  </si>
  <si>
    <t>Christopher Coffey</t>
  </si>
  <si>
    <t>Robin Dean</t>
  </si>
  <si>
    <t>Christopher Burgess</t>
  </si>
  <si>
    <t>Margaret Arnold</t>
  </si>
  <si>
    <t>Anthony Martin</t>
  </si>
  <si>
    <t>Madeline Sanchez</t>
  </si>
  <si>
    <t>Donald Smith</t>
  </si>
  <si>
    <t>Jordan Carey</t>
  </si>
  <si>
    <t>Francisco Brown</t>
  </si>
  <si>
    <t>Jessica Harris</t>
  </si>
  <si>
    <t>Scott Williamson</t>
  </si>
  <si>
    <t>Danny Espinoza</t>
  </si>
  <si>
    <t>Melissa Herrera</t>
  </si>
  <si>
    <t>Heather Gaines</t>
  </si>
  <si>
    <t>Samuel Coleman</t>
  </si>
  <si>
    <t>Brian Smith</t>
  </si>
  <si>
    <t>Spencer Russo</t>
  </si>
  <si>
    <t>Kayla Arroyo</t>
  </si>
  <si>
    <t>Nancy Rios</t>
  </si>
  <si>
    <t>Zachary Moore</t>
  </si>
  <si>
    <t>Tracy Yoder</t>
  </si>
  <si>
    <t>Peter Horton</t>
  </si>
  <si>
    <t>Bradley Cox</t>
  </si>
  <si>
    <t>Jennifer Cook</t>
  </si>
  <si>
    <t>Thomas Maynard</t>
  </si>
  <si>
    <t>Zachary Calhoun</t>
  </si>
  <si>
    <t>Jeffrey Swanson</t>
  </si>
  <si>
    <t>Anthony Smith</t>
  </si>
  <si>
    <t>Nathan Zimmerman</t>
  </si>
  <si>
    <t>Karen Campbell</t>
  </si>
  <si>
    <t>Jessica Taylor DDS</t>
  </si>
  <si>
    <t>Shane Irwin</t>
  </si>
  <si>
    <t>Jessica Hardy</t>
  </si>
  <si>
    <t>Shawn Freeman</t>
  </si>
  <si>
    <t>Melissa Callahan</t>
  </si>
  <si>
    <t>Kristen Singleton</t>
  </si>
  <si>
    <t>Isabella Mason</t>
  </si>
  <si>
    <t>Leah Lee</t>
  </si>
  <si>
    <t>Angela Alvarez</t>
  </si>
  <si>
    <t>Yvonne Patton</t>
  </si>
  <si>
    <t>Michael Walker</t>
  </si>
  <si>
    <t>Jeremy Henderson</t>
  </si>
  <si>
    <t>Tina Ruiz</t>
  </si>
  <si>
    <t>Kathleen Benjamin</t>
  </si>
  <si>
    <t>Sarah Thompson</t>
  </si>
  <si>
    <t>Gregory Lynch PhD</t>
  </si>
  <si>
    <t>Wendy Bennett</t>
  </si>
  <si>
    <t>Jordan Murphy</t>
  </si>
  <si>
    <t>Derek Barrera</t>
  </si>
  <si>
    <t>Stephanie Sutton</t>
  </si>
  <si>
    <t>Mark Williams</t>
  </si>
  <si>
    <t>Timothy Moss</t>
  </si>
  <si>
    <t>Jacob Fischer</t>
  </si>
  <si>
    <t>Chelsea Martinez</t>
  </si>
  <si>
    <t>Tiffany Ramirez</t>
  </si>
  <si>
    <t>Kevin Trujillo</t>
  </si>
  <si>
    <t>Jamie Berry</t>
  </si>
  <si>
    <t>Jonathan Lynch</t>
  </si>
  <si>
    <t>Rebecca Castillo</t>
  </si>
  <si>
    <t>Timothy Greene</t>
  </si>
  <si>
    <t>Ashley Kidd</t>
  </si>
  <si>
    <t>Sandra Scott</t>
  </si>
  <si>
    <t>Carol Savage</t>
  </si>
  <si>
    <t>Heather Cruz</t>
  </si>
  <si>
    <t>Shannon Jacobs</t>
  </si>
  <si>
    <t>Kara Douglas DDS</t>
  </si>
  <si>
    <t>Robert Parrish</t>
  </si>
  <si>
    <t>Michelle Williams</t>
  </si>
  <si>
    <t>Cole Tran</t>
  </si>
  <si>
    <t>Jennifer Maddox</t>
  </si>
  <si>
    <t>Robert Cobb</t>
  </si>
  <si>
    <t>Casey Lee</t>
  </si>
  <si>
    <t>Chad Diaz</t>
  </si>
  <si>
    <t>James Bryant</t>
  </si>
  <si>
    <t>Erica Ellis</t>
  </si>
  <si>
    <t>Ariana Cruz</t>
  </si>
  <si>
    <t>Alicia Cruz</t>
  </si>
  <si>
    <t>Kristi Clark</t>
  </si>
  <si>
    <t>Christina Wall</t>
  </si>
  <si>
    <t>Michele Bauer</t>
  </si>
  <si>
    <t>Jeremy Travis</t>
  </si>
  <si>
    <t>Jason Archer</t>
  </si>
  <si>
    <t>Heather Vaughan</t>
  </si>
  <si>
    <t>Heather Mccullough</t>
  </si>
  <si>
    <t>Thomas Diaz</t>
  </si>
  <si>
    <t>Sean Campos</t>
  </si>
  <si>
    <t>Mary Bryant</t>
  </si>
  <si>
    <t>Martin Lucas</t>
  </si>
  <si>
    <t>Mercedes Davis</t>
  </si>
  <si>
    <t>Sean Spencer</t>
  </si>
  <si>
    <t>Alan Morrow</t>
  </si>
  <si>
    <t>Stephanie Edwards</t>
  </si>
  <si>
    <t>Elizabeth Taylor</t>
  </si>
  <si>
    <t>Andrew Mendez</t>
  </si>
  <si>
    <t>Walter Mathis</t>
  </si>
  <si>
    <t>Tabitha Travis</t>
  </si>
  <si>
    <t>Carrie Russell</t>
  </si>
  <si>
    <t>Jennifer Newton</t>
  </si>
  <si>
    <t>Megan Todd</t>
  </si>
  <si>
    <t>Lindsay Dawson</t>
  </si>
  <si>
    <t>Luke Delacruz</t>
  </si>
  <si>
    <t>Heather Werner</t>
  </si>
  <si>
    <t>Shannon Davis</t>
  </si>
  <si>
    <t>Pamela Quinn</t>
  </si>
  <si>
    <t>Cynthia Morris</t>
  </si>
  <si>
    <t>Heather Jones</t>
  </si>
  <si>
    <t>Andrea Floyd</t>
  </si>
  <si>
    <t>Allen Alvarado</t>
  </si>
  <si>
    <t>Samantha Gonzalez</t>
  </si>
  <si>
    <t>Daniel Reynolds</t>
  </si>
  <si>
    <t>Jennifer Russell</t>
  </si>
  <si>
    <t>Debra Adams</t>
  </si>
  <si>
    <t>Garrett Anderson</t>
  </si>
  <si>
    <t>Stephen Strickland</t>
  </si>
  <si>
    <t>Gina Cunningham</t>
  </si>
  <si>
    <t>David Meyer</t>
  </si>
  <si>
    <t>Clifford Holland</t>
  </si>
  <si>
    <t>Maria Hernandez</t>
  </si>
  <si>
    <t>Ashley Ramos</t>
  </si>
  <si>
    <t>Crystal Ponce</t>
  </si>
  <si>
    <t>Jason Morgan</t>
  </si>
  <si>
    <t>Bruce Byrd</t>
  </si>
  <si>
    <t>Christina Gibson</t>
  </si>
  <si>
    <t>Lisa Jones</t>
  </si>
  <si>
    <t>Jeffery Dean</t>
  </si>
  <si>
    <t>Candice Mills</t>
  </si>
  <si>
    <t>Christina Rivera</t>
  </si>
  <si>
    <t>Dylan Ruiz</t>
  </si>
  <si>
    <t>Alexandria Harris</t>
  </si>
  <si>
    <t>Trevor Rush</t>
  </si>
  <si>
    <t>Michael Johnston</t>
  </si>
  <si>
    <t>Levi Morris</t>
  </si>
  <si>
    <t>Gregory Medina</t>
  </si>
  <si>
    <t>Anthony Kennedy</t>
  </si>
  <si>
    <t>Terri Floyd</t>
  </si>
  <si>
    <t>Barbara Price</t>
  </si>
  <si>
    <t>Jessica Ray</t>
  </si>
  <si>
    <t>Thomas Walters</t>
  </si>
  <si>
    <t>Caitlin Hill</t>
  </si>
  <si>
    <t>Renee Myers</t>
  </si>
  <si>
    <t>Holly Turner</t>
  </si>
  <si>
    <t>Kathryn Nunez</t>
  </si>
  <si>
    <t>Sandra Henderson</t>
  </si>
  <si>
    <t>Shawn Moreno</t>
  </si>
  <si>
    <t>Brittney Rose</t>
  </si>
  <si>
    <t>Amber Mcfarland</t>
  </si>
  <si>
    <t>Amanda Henderson</t>
  </si>
  <si>
    <t>Michael Hardy</t>
  </si>
  <si>
    <t>Kathleen Edwards</t>
  </si>
  <si>
    <t>Taylor Velasquez</t>
  </si>
  <si>
    <t>Andrew Jennings</t>
  </si>
  <si>
    <t>Lori Hall</t>
  </si>
  <si>
    <t>Michael Bailey</t>
  </si>
  <si>
    <t>Michael Neal</t>
  </si>
  <si>
    <t>James Taylor</t>
  </si>
  <si>
    <t>Dale Craig</t>
  </si>
  <si>
    <t>Eric Sawyer</t>
  </si>
  <si>
    <t>Denise Cole</t>
  </si>
  <si>
    <t>Paige Barrera</t>
  </si>
  <si>
    <t>Rachel Sanchez</t>
  </si>
  <si>
    <t>Craig Schultz</t>
  </si>
  <si>
    <t>Derek Goodwin</t>
  </si>
  <si>
    <t>David Frank</t>
  </si>
  <si>
    <t>Kathryn Evans</t>
  </si>
  <si>
    <t>Jennifer Miller</t>
  </si>
  <si>
    <t>Eric Gibson</t>
  </si>
  <si>
    <t>Courtney Gray</t>
  </si>
  <si>
    <t>Kyle Ryan</t>
  </si>
  <si>
    <t>Matthew Cruz</t>
  </si>
  <si>
    <t>Richard Perez</t>
  </si>
  <si>
    <t>Kevin Keith</t>
  </si>
  <si>
    <t>David Holmes</t>
  </si>
  <si>
    <t>Douglas Hall</t>
  </si>
  <si>
    <t>Darrell Wilson</t>
  </si>
  <si>
    <t>Elizabeth Hill</t>
  </si>
  <si>
    <t>Christopher Jenkins</t>
  </si>
  <si>
    <t>Elizabeth Williams</t>
  </si>
  <si>
    <t>Mr. Andrew Wilson</t>
  </si>
  <si>
    <t>Henry Jimenez</t>
  </si>
  <si>
    <t>Samantha Ryan</t>
  </si>
  <si>
    <t>Shawn Barajas</t>
  </si>
  <si>
    <t>Carmen Coleman</t>
  </si>
  <si>
    <t>Ryan Phillips</t>
  </si>
  <si>
    <t>Emily Chavez</t>
  </si>
  <si>
    <t>Mr. Louis Harrison</t>
  </si>
  <si>
    <t>Angela Sanchez</t>
  </si>
  <si>
    <t>Jacob Henry</t>
  </si>
  <si>
    <t>Christopher Gallagher</t>
  </si>
  <si>
    <t>Eric Roth</t>
  </si>
  <si>
    <t>Brandi Mcclure</t>
  </si>
  <si>
    <t>Chelsea White</t>
  </si>
  <si>
    <t>Mackenzie Baldwin</t>
  </si>
  <si>
    <t>Jessica Dominguez</t>
  </si>
  <si>
    <t>Michael Benton</t>
  </si>
  <si>
    <t>Andrew Hernandez</t>
  </si>
  <si>
    <t>Matthew Griffin</t>
  </si>
  <si>
    <t>Christopher Robinson</t>
  </si>
  <si>
    <t>Kristin Rodgers</t>
  </si>
  <si>
    <t>Pamela Walker</t>
  </si>
  <si>
    <t>Matthew Price</t>
  </si>
  <si>
    <t>Ronald Knight</t>
  </si>
  <si>
    <t>Andrew Martin</t>
  </si>
  <si>
    <t>Brian Scott</t>
  </si>
  <si>
    <t>John Gordon</t>
  </si>
  <si>
    <t>Rachel Ford</t>
  </si>
  <si>
    <t>Christine Reed</t>
  </si>
  <si>
    <t>Ryan Stevenson</t>
  </si>
  <si>
    <t>Paul Guerrero MD</t>
  </si>
  <si>
    <t>Alicia Cummings</t>
  </si>
  <si>
    <t>Grant Parker</t>
  </si>
  <si>
    <t>Mark Knight</t>
  </si>
  <si>
    <t>Natalie Bowman</t>
  </si>
  <si>
    <t>Michelle Watkins</t>
  </si>
  <si>
    <t>Melissa Reed</t>
  </si>
  <si>
    <t>Denise Mckee</t>
  </si>
  <si>
    <t>Jordan Chase</t>
  </si>
  <si>
    <t>Melissa Smith</t>
  </si>
  <si>
    <t>Billy Grant</t>
  </si>
  <si>
    <t>Tyler Sweeney</t>
  </si>
  <si>
    <t>Jeffrey Coleman</t>
  </si>
  <si>
    <t>Aaron Tran</t>
  </si>
  <si>
    <t>Justin Taylor</t>
  </si>
  <si>
    <t>Anne May</t>
  </si>
  <si>
    <t>Russell Reeves</t>
  </si>
  <si>
    <t>Matthew Ortiz</t>
  </si>
  <si>
    <t>Jacqueline Diaz</t>
  </si>
  <si>
    <t>Stephanie Jackson</t>
  </si>
  <si>
    <t>Travis Carter</t>
  </si>
  <si>
    <t>Stephen Caldwell</t>
  </si>
  <si>
    <t>Melissa Gonzalez</t>
  </si>
  <si>
    <t>Kayla Gray</t>
  </si>
  <si>
    <t>James Stewart</t>
  </si>
  <si>
    <t>Peter Sullivan</t>
  </si>
  <si>
    <t>Roy Gonzalez</t>
  </si>
  <si>
    <t>James King</t>
  </si>
  <si>
    <t>Heather Riggs</t>
  </si>
  <si>
    <t>Zachary Pena</t>
  </si>
  <si>
    <t>David Herman</t>
  </si>
  <si>
    <t>Laura Hoffman</t>
  </si>
  <si>
    <t>Paige Parker</t>
  </si>
  <si>
    <t>Mary Doyle</t>
  </si>
  <si>
    <t>Javier Torres</t>
  </si>
  <si>
    <t>Tonya Hill</t>
  </si>
  <si>
    <t>Mrs. Sara King DDS</t>
  </si>
  <si>
    <t>Elizabeth Graham</t>
  </si>
  <si>
    <t>Samantha Miller</t>
  </si>
  <si>
    <t>Nicole Simpson</t>
  </si>
  <si>
    <t>Molly Roberson</t>
  </si>
  <si>
    <t>Raymond Wilson</t>
  </si>
  <si>
    <t>Gregory Bullock</t>
  </si>
  <si>
    <t>Sarah Hall</t>
  </si>
  <si>
    <t>Melissa Johnston</t>
  </si>
  <si>
    <t>Amanda Bradford</t>
  </si>
  <si>
    <t>Miguel Watson PhD</t>
  </si>
  <si>
    <t>John Jacobs</t>
  </si>
  <si>
    <t>Karen Osborn</t>
  </si>
  <si>
    <t>Sarah Cox</t>
  </si>
  <si>
    <t>Gary Valencia</t>
  </si>
  <si>
    <t>Rebecca Stein</t>
  </si>
  <si>
    <t>Dustin Black</t>
  </si>
  <si>
    <t>Casey Liu</t>
  </si>
  <si>
    <t>Kathleen Brown</t>
  </si>
  <si>
    <t>Mark Decker</t>
  </si>
  <si>
    <t>David Woods</t>
  </si>
  <si>
    <t>Linda Whitehead</t>
  </si>
  <si>
    <t>Christopher Sawyer</t>
  </si>
  <si>
    <t>Vickie Ramirez</t>
  </si>
  <si>
    <t>Randall Moon</t>
  </si>
  <si>
    <t>Robert Taylor</t>
  </si>
  <si>
    <t>Bradley Stephens</t>
  </si>
  <si>
    <t>Amanda Mcdonald MD</t>
  </si>
  <si>
    <t>Charles Gonzalez</t>
  </si>
  <si>
    <t>Samantha Kelly</t>
  </si>
  <si>
    <t>Mark Wright</t>
  </si>
  <si>
    <t>Michelle Rhodes</t>
  </si>
  <si>
    <t>Melinda Leblanc</t>
  </si>
  <si>
    <t>Sandra Perez</t>
  </si>
  <si>
    <t>Philip Manning</t>
  </si>
  <si>
    <t>Mark Stevens</t>
  </si>
  <si>
    <t>Amy Ruiz</t>
  </si>
  <si>
    <t>Jennifer Boone</t>
  </si>
  <si>
    <t>Joseph Mitchell</t>
  </si>
  <si>
    <t>Scott Robertson</t>
  </si>
  <si>
    <t>Phyllis Perez</t>
  </si>
  <si>
    <t>Sarah Dickerson</t>
  </si>
  <si>
    <t>Tyler Wolfe</t>
  </si>
  <si>
    <t>Megan Webb</t>
  </si>
  <si>
    <t>Laura Bowen</t>
  </si>
  <si>
    <t>Keith Floyd</t>
  </si>
  <si>
    <t>James Smith</t>
  </si>
  <si>
    <t>Marissa Ray</t>
  </si>
  <si>
    <t>Sandra Gonzalez</t>
  </si>
  <si>
    <t>Jennifer Smith</t>
  </si>
  <si>
    <t>Ms. Wendy Parks</t>
  </si>
  <si>
    <t>Joy Jenkins</t>
  </si>
  <si>
    <t>Misty Clarke</t>
  </si>
  <si>
    <t>Terri Jordan</t>
  </si>
  <si>
    <t>Danielle Kemp</t>
  </si>
  <si>
    <t>Ashley Whitaker</t>
  </si>
  <si>
    <t>Alicia Olson</t>
  </si>
  <si>
    <t>Paul Blackburn</t>
  </si>
  <si>
    <t>Victoria Mejia</t>
  </si>
  <si>
    <t>Hannah Dixon</t>
  </si>
  <si>
    <t>Christopher Clements</t>
  </si>
  <si>
    <t>John Hall</t>
  </si>
  <si>
    <t>Dr. Samuel Le</t>
  </si>
  <si>
    <t>Christopher Williams</t>
  </si>
  <si>
    <t>Chase May</t>
  </si>
  <si>
    <t>Karina Allen</t>
  </si>
  <si>
    <t>Andre Barber</t>
  </si>
  <si>
    <t>Tara Johnson</t>
  </si>
  <si>
    <t>Joseph Hanna</t>
  </si>
  <si>
    <t>Andrew Sanchez</t>
  </si>
  <si>
    <t>Melissa Wall</t>
  </si>
  <si>
    <t>Rachel Rose</t>
  </si>
  <si>
    <t>Lance Dixon</t>
  </si>
  <si>
    <t>Steven Allen</t>
  </si>
  <si>
    <t>Jean Kennedy</t>
  </si>
  <si>
    <t>Erin Church</t>
  </si>
  <si>
    <t>Andrew Thompson</t>
  </si>
  <si>
    <t>Michael Dudley</t>
  </si>
  <si>
    <t>Alicia Lester</t>
  </si>
  <si>
    <t>Bethany Miller</t>
  </si>
  <si>
    <t>Brian Grant</t>
  </si>
  <si>
    <t>Aaron Washington</t>
  </si>
  <si>
    <t>James Barron</t>
  </si>
  <si>
    <t>Lisa Parker</t>
  </si>
  <si>
    <t>Jodi Mccall</t>
  </si>
  <si>
    <t>Jonathan Nguyen</t>
  </si>
  <si>
    <t>Jonathan Johnson</t>
  </si>
  <si>
    <t>Gregory Lee</t>
  </si>
  <si>
    <t>Jasmine Peterson</t>
  </si>
  <si>
    <t>Tanya Flores</t>
  </si>
  <si>
    <t>Kathleen Key</t>
  </si>
  <si>
    <t>Brian Garrett</t>
  </si>
  <si>
    <t>Brandon Barrera</t>
  </si>
  <si>
    <t>Denise Thompson</t>
  </si>
  <si>
    <t>Benjamin Johnson</t>
  </si>
  <si>
    <t>Justin Brennan</t>
  </si>
  <si>
    <t>Monica Parrish</t>
  </si>
  <si>
    <t>Richard Miller</t>
  </si>
  <si>
    <t>Carrie Bates</t>
  </si>
  <si>
    <t>Kimberly Goodwin</t>
  </si>
  <si>
    <t>Bobby Beck</t>
  </si>
  <si>
    <t>Joshua Ruiz</t>
  </si>
  <si>
    <t>Elizabeth Knight</t>
  </si>
  <si>
    <t>Jessica Gutierrez</t>
  </si>
  <si>
    <t>Mark Hurst</t>
  </si>
  <si>
    <t>Erica Davis</t>
  </si>
  <si>
    <t>Nathan Russell</t>
  </si>
  <si>
    <t>Diane Barker</t>
  </si>
  <si>
    <t>April Griffin</t>
  </si>
  <si>
    <t>Alyssa Johnson</t>
  </si>
  <si>
    <t>Michael Rodgers</t>
  </si>
  <si>
    <t>Brian Kim</t>
  </si>
  <si>
    <t>Eric Webb</t>
  </si>
  <si>
    <t>Sarah Miller</t>
  </si>
  <si>
    <t>Rachel Willis</t>
  </si>
  <si>
    <t>Benjamin Randall</t>
  </si>
  <si>
    <t>Jason Richardson</t>
  </si>
  <si>
    <t>Steven Richards</t>
  </si>
  <si>
    <t>Megan Mcintosh</t>
  </si>
  <si>
    <t>Tracy Jackson</t>
  </si>
  <si>
    <t>Alexandria Fritz</t>
  </si>
  <si>
    <t>Andrew Burton</t>
  </si>
  <si>
    <t>Bradley Collins</t>
  </si>
  <si>
    <t>James Ryan</t>
  </si>
  <si>
    <t>James Kennedy</t>
  </si>
  <si>
    <t>Sara Curry</t>
  </si>
  <si>
    <t>Christopher Garrison</t>
  </si>
  <si>
    <t>Savannah Martin</t>
  </si>
  <si>
    <t>Leslie Rice</t>
  </si>
  <si>
    <t>David Taylor</t>
  </si>
  <si>
    <t>Rachel Larsen</t>
  </si>
  <si>
    <t>Brian Robinson</t>
  </si>
  <si>
    <t>Christopher Anderson</t>
  </si>
  <si>
    <t>Justin Peterson</t>
  </si>
  <si>
    <t>David Davis Jr.</t>
  </si>
  <si>
    <t>Jessica Gomez</t>
  </si>
  <si>
    <t>Kenneth Nichols</t>
  </si>
  <si>
    <t>Randy Rios</t>
  </si>
  <si>
    <t>Kristine Stewart</t>
  </si>
  <si>
    <t>Robert Williams</t>
  </si>
  <si>
    <t>Sarah Nguyen</t>
  </si>
  <si>
    <t>Jason Hicks</t>
  </si>
  <si>
    <t>Jeff Barrett</t>
  </si>
  <si>
    <t>Felicia Wilson</t>
  </si>
  <si>
    <t>Amanda Carter</t>
  </si>
  <si>
    <t>John Sanchez</t>
  </si>
  <si>
    <t>Frank Braun</t>
  </si>
  <si>
    <t>Corey Guzman</t>
  </si>
  <si>
    <t>Jose Martin</t>
  </si>
  <si>
    <t>John Rivera</t>
  </si>
  <si>
    <t>Tristan Frazier</t>
  </si>
  <si>
    <t>Laura Waller</t>
  </si>
  <si>
    <t>Dawn James</t>
  </si>
  <si>
    <t>William Spence</t>
  </si>
  <si>
    <t>Shelby Boyd</t>
  </si>
  <si>
    <t>Cheryl Reynolds</t>
  </si>
  <si>
    <t>Tammy Williams</t>
  </si>
  <si>
    <t>Thomas Schmidt</t>
  </si>
  <si>
    <t>Brenda Wong</t>
  </si>
  <si>
    <t>Marissa May</t>
  </si>
  <si>
    <t>Joseph Rich</t>
  </si>
  <si>
    <t>Michael Jenkins</t>
  </si>
  <si>
    <t>Joseph Lewis</t>
  </si>
  <si>
    <t>Hannah Larson</t>
  </si>
  <si>
    <t>Alex Skinner</t>
  </si>
  <si>
    <t>Whitney Vincent</t>
  </si>
  <si>
    <t>Alice Myers</t>
  </si>
  <si>
    <t>Melissa Shaffer</t>
  </si>
  <si>
    <t>Danielle Allen</t>
  </si>
  <si>
    <t>Justin Knight</t>
  </si>
  <si>
    <t>Gabriel Hudson</t>
  </si>
  <si>
    <t>Kimberly Vega</t>
  </si>
  <si>
    <t>David Moore</t>
  </si>
  <si>
    <t>Miranda Bennett</t>
  </si>
  <si>
    <t>Jared Martin</t>
  </si>
  <si>
    <t>Roger Cole</t>
  </si>
  <si>
    <t>James Miller</t>
  </si>
  <si>
    <t>Justin Lam</t>
  </si>
  <si>
    <t>Samantha Mcmillan</t>
  </si>
  <si>
    <t>Larry Lynch</t>
  </si>
  <si>
    <t>Mason Smith</t>
  </si>
  <si>
    <t>David Mendoza</t>
  </si>
  <si>
    <t>Bradley Johnson</t>
  </si>
  <si>
    <t>Michele Shaw</t>
  </si>
  <si>
    <t>Shawn Lopez</t>
  </si>
  <si>
    <t>Riley Branch</t>
  </si>
  <si>
    <t>April Fernandez</t>
  </si>
  <si>
    <t>Timothy Johnson</t>
  </si>
  <si>
    <t>Victoria Williams</t>
  </si>
  <si>
    <t>Thomas Peters</t>
  </si>
  <si>
    <t>Phillip Walker</t>
  </si>
  <si>
    <t>Benjamin Gomez</t>
  </si>
  <si>
    <t>Ryan Nelson</t>
  </si>
  <si>
    <t>Melissa English</t>
  </si>
  <si>
    <t>Sara Parker</t>
  </si>
  <si>
    <t>Miguel Harvey</t>
  </si>
  <si>
    <t>Melissa Russo</t>
  </si>
  <si>
    <t>Veronica Thomas</t>
  </si>
  <si>
    <t>Melissa Walker</t>
  </si>
  <si>
    <t>Curtis Beltran</t>
  </si>
  <si>
    <t>Kathryn Erickson</t>
  </si>
  <si>
    <t>Richard Barron</t>
  </si>
  <si>
    <t>Mr. Jonathan Johnson</t>
  </si>
  <si>
    <t>Jessica Norton</t>
  </si>
  <si>
    <t>Timothy Ross</t>
  </si>
  <si>
    <t>Megan Thomas</t>
  </si>
  <si>
    <t>Nathan Pena</t>
  </si>
  <si>
    <t>Katherine Carson</t>
  </si>
  <si>
    <t>Lisa Cummings</t>
  </si>
  <si>
    <t>Todd Hopkins</t>
  </si>
  <si>
    <t>Michael Juarez</t>
  </si>
  <si>
    <t>Robert Huang</t>
  </si>
  <si>
    <t>Olivia Kaufman</t>
  </si>
  <si>
    <t>Katie Kline</t>
  </si>
  <si>
    <t>Tara Murphy</t>
  </si>
  <si>
    <t>Robert Hall</t>
  </si>
  <si>
    <t>Carol Hartman</t>
  </si>
  <si>
    <t>Robert Cook</t>
  </si>
  <si>
    <t>Thomas May</t>
  </si>
  <si>
    <t>Daniel Tran</t>
  </si>
  <si>
    <t>Colin Ramirez</t>
  </si>
  <si>
    <t>Antonio Garcia</t>
  </si>
  <si>
    <t>Kimberly Roberts</t>
  </si>
  <si>
    <t>Joseph Myers</t>
  </si>
  <si>
    <t>Christina Flores</t>
  </si>
  <si>
    <t>Krystal Salinas</t>
  </si>
  <si>
    <t>Mark Mcdaniel</t>
  </si>
  <si>
    <t>Dorothy Garcia</t>
  </si>
  <si>
    <t>Veronica Baldwin</t>
  </si>
  <si>
    <t>Michael Shelton</t>
  </si>
  <si>
    <t>Marilyn Doyle</t>
  </si>
  <si>
    <t>Kayla Thomas</t>
  </si>
  <si>
    <t>Craig Fischer</t>
  </si>
  <si>
    <t>Kent Rosales</t>
  </si>
  <si>
    <t>Antonio Morton</t>
  </si>
  <si>
    <t>James Hahn</t>
  </si>
  <si>
    <t>Chelsea Brown</t>
  </si>
  <si>
    <t>Natasha Farley</t>
  </si>
  <si>
    <t>Amy Martinez</t>
  </si>
  <si>
    <t>Casey Williams</t>
  </si>
  <si>
    <t>Elizabeth King</t>
  </si>
  <si>
    <t>Stacy Newton</t>
  </si>
  <si>
    <t>Robert Clark</t>
  </si>
  <si>
    <t>Michele Martinez</t>
  </si>
  <si>
    <t>Tracey Gould</t>
  </si>
  <si>
    <t>Anthony Wagner DDS</t>
  </si>
  <si>
    <t>Joshua Knox</t>
  </si>
  <si>
    <t>Lisa Arias</t>
  </si>
  <si>
    <t>Nicole Brooks</t>
  </si>
  <si>
    <t>Jeffery Bond</t>
  </si>
  <si>
    <t>Phillip Moore</t>
  </si>
  <si>
    <t>Megan Maynard</t>
  </si>
  <si>
    <t>Joy Moore</t>
  </si>
  <si>
    <t>Julie Owens</t>
  </si>
  <si>
    <t>Kimberly Riley</t>
  </si>
  <si>
    <t>Peter Whitaker</t>
  </si>
  <si>
    <t>Mary Mcmahon</t>
  </si>
  <si>
    <t>Mark Ortiz</t>
  </si>
  <si>
    <t>Daniel Williams</t>
  </si>
  <si>
    <t>Christopher Olson</t>
  </si>
  <si>
    <t>Shawn Mcdowell</t>
  </si>
  <si>
    <t>Peter Byrd</t>
  </si>
  <si>
    <t>Henry Montgomery</t>
  </si>
  <si>
    <t>Steven Walker</t>
  </si>
  <si>
    <t>Rebecca Nielsen</t>
  </si>
  <si>
    <t>Adam Thompson</t>
  </si>
  <si>
    <t>Andrew Vasquez</t>
  </si>
  <si>
    <t>Marie Hernandez</t>
  </si>
  <si>
    <t>John King</t>
  </si>
  <si>
    <t>Tracy Gallegos</t>
  </si>
  <si>
    <t>Brian Ingram</t>
  </si>
  <si>
    <t>Joe Williams</t>
  </si>
  <si>
    <t>John Roman</t>
  </si>
  <si>
    <t>Evelyn Powers</t>
  </si>
  <si>
    <t>Allison Simpson</t>
  </si>
  <si>
    <t>Christopher Marsh</t>
  </si>
  <si>
    <t>Christine Holmes</t>
  </si>
  <si>
    <t>Mrs. Lori Russell</t>
  </si>
  <si>
    <t>Peter Lara</t>
  </si>
  <si>
    <t>Jessica Lucas</t>
  </si>
  <si>
    <t>Diane Woods</t>
  </si>
  <si>
    <t>Amy Shelton</t>
  </si>
  <si>
    <t>Tina Wright</t>
  </si>
  <si>
    <t>Sandra Jones</t>
  </si>
  <si>
    <t>Sydney Cabrera</t>
  </si>
  <si>
    <t>Chelsey Kim</t>
  </si>
  <si>
    <t>Brian Collins</t>
  </si>
  <si>
    <t>Christopher Foster</t>
  </si>
  <si>
    <t>Kimberly Bailey</t>
  </si>
  <si>
    <t>Gary Nicholson</t>
  </si>
  <si>
    <t>Christian Rose</t>
  </si>
  <si>
    <t>Patrick Briggs</t>
  </si>
  <si>
    <t>Tina Duarte</t>
  </si>
  <si>
    <t>Nicole Elliott</t>
  </si>
  <si>
    <t>John Williams</t>
  </si>
  <si>
    <t>Shelby Glass</t>
  </si>
  <si>
    <t>Stephanie Brown</t>
  </si>
  <si>
    <t>Jordan Watkins</t>
  </si>
  <si>
    <t>Heidi Garcia</t>
  </si>
  <si>
    <t>Rodney Howard</t>
  </si>
  <si>
    <t>Andrew Nunez</t>
  </si>
  <si>
    <t>Matthew Wallace</t>
  </si>
  <si>
    <t>Erin Fowler</t>
  </si>
  <si>
    <t>Drew Patterson</t>
  </si>
  <si>
    <t>Lauren Branch</t>
  </si>
  <si>
    <t>Matthew Frank</t>
  </si>
  <si>
    <t>Karen Thomas</t>
  </si>
  <si>
    <t>William Smith</t>
  </si>
  <si>
    <t>Cameron Morrison</t>
  </si>
  <si>
    <t>Michael Chavez</t>
  </si>
  <si>
    <t>Jonathon Jackson</t>
  </si>
  <si>
    <t>Aaron Roberts</t>
  </si>
  <si>
    <t>Julia Murphy</t>
  </si>
  <si>
    <t>Robert Hines</t>
  </si>
  <si>
    <t>Susan Waller</t>
  </si>
  <si>
    <t>Joshua Ross</t>
  </si>
  <si>
    <t>Michael Carrillo</t>
  </si>
  <si>
    <t>John Lewis</t>
  </si>
  <si>
    <t>Emily Martin</t>
  </si>
  <si>
    <t>Jason Rodriguez</t>
  </si>
  <si>
    <t>Ashlee Hill</t>
  </si>
  <si>
    <t>Amy Ortega</t>
  </si>
  <si>
    <t>Brittney Walker</t>
  </si>
  <si>
    <t>Debra Dickerson</t>
  </si>
  <si>
    <t>Theresa Green</t>
  </si>
  <si>
    <t>Kathryn Bryan</t>
  </si>
  <si>
    <t>Brenda Lee</t>
  </si>
  <si>
    <t>Amanda Conner</t>
  </si>
  <si>
    <t>Suzanne Nguyen</t>
  </si>
  <si>
    <t>Ashley Carlson</t>
  </si>
  <si>
    <t>Jason Jones</t>
  </si>
  <si>
    <t>Jennifer Porter</t>
  </si>
  <si>
    <t>Jonathan Hall</t>
  </si>
  <si>
    <t>Paige Mcintosh</t>
  </si>
  <si>
    <t>Henry Diaz</t>
  </si>
  <si>
    <t>Carlos Gallagher</t>
  </si>
  <si>
    <t>Travis Jackson</t>
  </si>
  <si>
    <t>Stephen Flores</t>
  </si>
  <si>
    <t>Julie Douglas</t>
  </si>
  <si>
    <t>Robert Fields</t>
  </si>
  <si>
    <t>Jennifer Austin</t>
  </si>
  <si>
    <t>Francisco Johnson</t>
  </si>
  <si>
    <t>Sandra Hood</t>
  </si>
  <si>
    <t>Benjamin Bush</t>
  </si>
  <si>
    <t>Amanda Obrien</t>
  </si>
  <si>
    <t>Sophia Merritt</t>
  </si>
  <si>
    <t>Tyler Patel</t>
  </si>
  <si>
    <t>Lisa Martinez</t>
  </si>
  <si>
    <t>Jennifer Griffin</t>
  </si>
  <si>
    <t>Rachel Alvarado</t>
  </si>
  <si>
    <t>Chad Jones</t>
  </si>
  <si>
    <t>Michele Johnson</t>
  </si>
  <si>
    <t>Christopher Russell</t>
  </si>
  <si>
    <t>Megan Jacobs</t>
  </si>
  <si>
    <t>Diana Hernandez</t>
  </si>
  <si>
    <t>Carlos Moore</t>
  </si>
  <si>
    <t>Lisa Becker</t>
  </si>
  <si>
    <t>Mariah Flowers</t>
  </si>
  <si>
    <t>George Lewis</t>
  </si>
  <si>
    <t>Loretta White</t>
  </si>
  <si>
    <t>Mary Kelly</t>
  </si>
  <si>
    <t>Anthony Hendricks</t>
  </si>
  <si>
    <t>Bruce Ramos</t>
  </si>
  <si>
    <t>Mary Padilla</t>
  </si>
  <si>
    <t>Jenna Black</t>
  </si>
  <si>
    <t>Danielle Howard</t>
  </si>
  <si>
    <t>Jessica Sims</t>
  </si>
  <si>
    <t>Matthew Willis</t>
  </si>
  <si>
    <t>Jason Jenkins Jr.</t>
  </si>
  <si>
    <t>Mark Burns</t>
  </si>
  <si>
    <t>Emily Zavala</t>
  </si>
  <si>
    <t>Angela Curtis</t>
  </si>
  <si>
    <t>Donald Salazar</t>
  </si>
  <si>
    <t>Tony Harris</t>
  </si>
  <si>
    <t>Heidi Barrera</t>
  </si>
  <si>
    <t>Jean Cook</t>
  </si>
  <si>
    <t>Terry Jackson MD</t>
  </si>
  <si>
    <t>Omar Young</t>
  </si>
  <si>
    <t>Allison Garner</t>
  </si>
  <si>
    <t>Danielle Stephens</t>
  </si>
  <si>
    <t>Brett Evans</t>
  </si>
  <si>
    <t>Anna Campbell</t>
  </si>
  <si>
    <t>Anne Fernandez</t>
  </si>
  <si>
    <t>Anna Farley</t>
  </si>
  <si>
    <t>Robert Burnett</t>
  </si>
  <si>
    <t>Alejandro Simpson</t>
  </si>
  <si>
    <t>Kimberly Rogers</t>
  </si>
  <si>
    <t>Tracy Walker</t>
  </si>
  <si>
    <t>Elizabeth Gray</t>
  </si>
  <si>
    <t>Anna Shaw</t>
  </si>
  <si>
    <t>Michael Morris Jr.</t>
  </si>
  <si>
    <t>Dominique Diaz</t>
  </si>
  <si>
    <t>Spencer Gilbert</t>
  </si>
  <si>
    <t>Susan Blackwell</t>
  </si>
  <si>
    <t>Mikayla Brown</t>
  </si>
  <si>
    <t>Nancy Harris</t>
  </si>
  <si>
    <t>Lisa Frank</t>
  </si>
  <si>
    <t>Mr. Joshua Thornton DDS</t>
  </si>
  <si>
    <t>Joshua Franco</t>
  </si>
  <si>
    <t>Sara Johnson</t>
  </si>
  <si>
    <t>Kevin Johnson</t>
  </si>
  <si>
    <t>Hunter Sanchez</t>
  </si>
  <si>
    <t>Sylvia Villa</t>
  </si>
  <si>
    <t>Caitlin Mcclure</t>
  </si>
  <si>
    <t>Stacie Mason</t>
  </si>
  <si>
    <t>Tyler Brown</t>
  </si>
  <si>
    <t>Sharon Murphy</t>
  </si>
  <si>
    <t>George Gordon</t>
  </si>
  <si>
    <t>Mark Simon</t>
  </si>
  <si>
    <t>Debbie Anthony</t>
  </si>
  <si>
    <t>Amanda Hernandez</t>
  </si>
  <si>
    <t>Mrs. Ashley Stuart</t>
  </si>
  <si>
    <t>Jordan Dominguez</t>
  </si>
  <si>
    <t>Savannah Castro</t>
  </si>
  <si>
    <t>Kevin Stone</t>
  </si>
  <si>
    <t>Tina Smith DVM</t>
  </si>
  <si>
    <t>Jason Myers Jr.</t>
  </si>
  <si>
    <t>Diamond Nguyen</t>
  </si>
  <si>
    <t>Laurie Bishop</t>
  </si>
  <si>
    <t>Scott Foster</t>
  </si>
  <si>
    <t>Dr. Stephanie Nelson</t>
  </si>
  <si>
    <t>Lindsey Howard</t>
  </si>
  <si>
    <t>Jessica Cruz MD</t>
  </si>
  <si>
    <t>Jennifer Davis</t>
  </si>
  <si>
    <t>Philip Fowler</t>
  </si>
  <si>
    <t>Tammie Perez</t>
  </si>
  <si>
    <t>John Fisher</t>
  </si>
  <si>
    <t>Jason Rogers</t>
  </si>
  <si>
    <t>Sean Boyd</t>
  </si>
  <si>
    <t>Robert Johnson</t>
  </si>
  <si>
    <t>Miguel Smith</t>
  </si>
  <si>
    <t>Paul Spencer</t>
  </si>
  <si>
    <t>Kenneth Ware</t>
  </si>
  <si>
    <t>David Collins</t>
  </si>
  <si>
    <t>Angela Hernandez</t>
  </si>
  <si>
    <t>Dustin Ramsey</t>
  </si>
  <si>
    <t>George Mccoy</t>
  </si>
  <si>
    <t>Christy Barrett</t>
  </si>
  <si>
    <t>Renee Smith</t>
  </si>
  <si>
    <t>David Williams</t>
  </si>
  <si>
    <t>Andrew Lambert</t>
  </si>
  <si>
    <t>Christopher Pham</t>
  </si>
  <si>
    <t>Alyssa Franklin</t>
  </si>
  <si>
    <t>Timothy Patterson</t>
  </si>
  <si>
    <t>Justin Simpson</t>
  </si>
  <si>
    <t>Matthew Brown</t>
  </si>
  <si>
    <t>Lori Valdez</t>
  </si>
  <si>
    <t>Dana Taylor</t>
  </si>
  <si>
    <t>Rebecca Sherman</t>
  </si>
  <si>
    <t>Rebecca Carter</t>
  </si>
  <si>
    <t>David Lewis</t>
  </si>
  <si>
    <t>Jill Mclaughlin</t>
  </si>
  <si>
    <t>Natasha Austin</t>
  </si>
  <si>
    <t>Rebecca Johnson</t>
  </si>
  <si>
    <t>William Bailey</t>
  </si>
  <si>
    <t>Mr. Jonathan Stanton</t>
  </si>
  <si>
    <t>Joshua Elliott</t>
  </si>
  <si>
    <t>Peter Vaughn</t>
  </si>
  <si>
    <t>Craig Rodriguez</t>
  </si>
  <si>
    <t>Anthony Pierce</t>
  </si>
  <si>
    <t>Stephen Welch</t>
  </si>
  <si>
    <t>Amy Stewart</t>
  </si>
  <si>
    <t>Francis Bates</t>
  </si>
  <si>
    <t>Margaret Smith</t>
  </si>
  <si>
    <t>William Maxwell</t>
  </si>
  <si>
    <t>Justin Green</t>
  </si>
  <si>
    <t>Laura Welch</t>
  </si>
  <si>
    <t>Anita Walls</t>
  </si>
  <si>
    <t>Shelley Allen</t>
  </si>
  <si>
    <t>Barbara Miller</t>
  </si>
  <si>
    <t>John Smith</t>
  </si>
  <si>
    <t>Tommy Garrett</t>
  </si>
  <si>
    <t>Matthew Saunders</t>
  </si>
  <si>
    <t>Jenna Harvey MD</t>
  </si>
  <si>
    <t>Shelley Garcia</t>
  </si>
  <si>
    <t>Darryl Steele</t>
  </si>
  <si>
    <t>Keith Key</t>
  </si>
  <si>
    <t>Denise Rollins</t>
  </si>
  <si>
    <t>John Cunningham</t>
  </si>
  <si>
    <t>James West</t>
  </si>
  <si>
    <t>William Stevens</t>
  </si>
  <si>
    <t>David Coleman</t>
  </si>
  <si>
    <t>Corey Martin</t>
  </si>
  <si>
    <t>Olivia Wilson</t>
  </si>
  <si>
    <t>Kristine Perez</t>
  </si>
  <si>
    <t>Nicole Bray</t>
  </si>
  <si>
    <t>Michael Bradley</t>
  </si>
  <si>
    <t>Jessica Bray</t>
  </si>
  <si>
    <t>Crystal Edwards</t>
  </si>
  <si>
    <t>Gary George</t>
  </si>
  <si>
    <t>Jeremiah Delacruz</t>
  </si>
  <si>
    <t>Rhonda Carlson</t>
  </si>
  <si>
    <t>Logan Wong</t>
  </si>
  <si>
    <t>Kara Allen</t>
  </si>
  <si>
    <t>Ashley Leonard</t>
  </si>
  <si>
    <t>Ethan Wells</t>
  </si>
  <si>
    <t>Kristy Patterson</t>
  </si>
  <si>
    <t>Sara Garza</t>
  </si>
  <si>
    <t>Trevor Callahan</t>
  </si>
  <si>
    <t>Patricia Jones</t>
  </si>
  <si>
    <t>Raymond Maynard</t>
  </si>
  <si>
    <t>Adam Hester</t>
  </si>
  <si>
    <t>Lisa Johnson</t>
  </si>
  <si>
    <t>Christopher Powers</t>
  </si>
  <si>
    <t>Spencer Davis</t>
  </si>
  <si>
    <t>George Sullivan</t>
  </si>
  <si>
    <t>Phillip Robinson</t>
  </si>
  <si>
    <t>Deborah Frost</t>
  </si>
  <si>
    <t>Keith Joseph</t>
  </si>
  <si>
    <t>Sharon Young</t>
  </si>
  <si>
    <t>Timothy Young</t>
  </si>
  <si>
    <t>Joseph Jones</t>
  </si>
  <si>
    <t>Keith Diaz</t>
  </si>
  <si>
    <t>Frank Graham</t>
  </si>
  <si>
    <t>Thomas Bailey</t>
  </si>
  <si>
    <t>Kevin Nelson</t>
  </si>
  <si>
    <t>Steven Carlson</t>
  </si>
  <si>
    <t>Miss Jill Phillips</t>
  </si>
  <si>
    <t>Jeffrey Mason</t>
  </si>
  <si>
    <t>Brenda Young</t>
  </si>
  <si>
    <t>Deborah Cross</t>
  </si>
  <si>
    <t>Eric Harris</t>
  </si>
  <si>
    <t>Marc Campbell</t>
  </si>
  <si>
    <t>Linda Andrews</t>
  </si>
  <si>
    <t>Matthew Blackburn</t>
  </si>
  <si>
    <t>Tami Ramirez</t>
  </si>
  <si>
    <t>Leslie Moses</t>
  </si>
  <si>
    <t>Christina Horn</t>
  </si>
  <si>
    <t>Maria Green</t>
  </si>
  <si>
    <t>Samantha Perez</t>
  </si>
  <si>
    <t>Jack Torres</t>
  </si>
  <si>
    <t>Shawn Schwartz</t>
  </si>
  <si>
    <t>Phyllis Hopkins</t>
  </si>
  <si>
    <t>Tara Yang</t>
  </si>
  <si>
    <t>Larry Blair</t>
  </si>
  <si>
    <t>Rachel Schultz</t>
  </si>
  <si>
    <t>Andrea Mason</t>
  </si>
  <si>
    <t>Matthew King</t>
  </si>
  <si>
    <t>Dr. Joshua Hood</t>
  </si>
  <si>
    <t>Joshua Quinn</t>
  </si>
  <si>
    <t>Christine Johnston</t>
  </si>
  <si>
    <t>Christopher Padilla</t>
  </si>
  <si>
    <t>William Green</t>
  </si>
  <si>
    <t>Brent Powell</t>
  </si>
  <si>
    <t>Tara Wolfe</t>
  </si>
  <si>
    <t>Michelle Brown</t>
  </si>
  <si>
    <t>Jared Robertson</t>
  </si>
  <si>
    <t>Christina Graham</t>
  </si>
  <si>
    <t>Johnathan Johnson</t>
  </si>
  <si>
    <t>Aaron Wallace</t>
  </si>
  <si>
    <t>Elizabeth Mccoy</t>
  </si>
  <si>
    <t>Dr. Carl Johnson DDS</t>
  </si>
  <si>
    <t>Jennifer Monroe</t>
  </si>
  <si>
    <t>Lauren Jennings</t>
  </si>
  <si>
    <t>Ronald Wright</t>
  </si>
  <si>
    <t>Sue Martinez</t>
  </si>
  <si>
    <t>Patricia Rocha</t>
  </si>
  <si>
    <t>Angela Ruiz</t>
  </si>
  <si>
    <t>Megan Garcia</t>
  </si>
  <si>
    <t>Rachel Martin</t>
  </si>
  <si>
    <t>Theresa Henry</t>
  </si>
  <si>
    <t>William Cook</t>
  </si>
  <si>
    <t>Francis Burgess</t>
  </si>
  <si>
    <t>Michael Klein</t>
  </si>
  <si>
    <t>Mary Boyer</t>
  </si>
  <si>
    <t>Lori Stevens</t>
  </si>
  <si>
    <t>Jason Thomas</t>
  </si>
  <si>
    <t>Dr. Andre Moran</t>
  </si>
  <si>
    <t>Lisa Williams</t>
  </si>
  <si>
    <t>Deborah Mejia</t>
  </si>
  <si>
    <t>Suzanne Lloyd</t>
  </si>
  <si>
    <t>Douglas Barrett</t>
  </si>
  <si>
    <t>Amanda Hamilton</t>
  </si>
  <si>
    <t>Paul Garrison</t>
  </si>
  <si>
    <t>Robert Bates</t>
  </si>
  <si>
    <t>Crystal Davidson</t>
  </si>
  <si>
    <t>Patrick Miranda</t>
  </si>
  <si>
    <t>Megan Silva</t>
  </si>
  <si>
    <t>Abigail Galvan</t>
  </si>
  <si>
    <t>Jill Chapman</t>
  </si>
  <si>
    <t>James Hill</t>
  </si>
  <si>
    <t>Damon Gonzalez</t>
  </si>
  <si>
    <t>Kimberly Lopez DVM</t>
  </si>
  <si>
    <t>James Hoffman</t>
  </si>
  <si>
    <t>Emily Bradley</t>
  </si>
  <si>
    <t>Kathryn Mullins</t>
  </si>
  <si>
    <t>Sandra Craig</t>
  </si>
  <si>
    <t>Sandra Gibson</t>
  </si>
  <si>
    <t>Victoria Burton</t>
  </si>
  <si>
    <t>Gabriel Holland</t>
  </si>
  <si>
    <t>Wyatt Estrada</t>
  </si>
  <si>
    <t>Justin Jackson</t>
  </si>
  <si>
    <t>Ronald Lewis</t>
  </si>
  <si>
    <t>Sean Kelley</t>
  </si>
  <si>
    <t>Anthony Thomas</t>
  </si>
  <si>
    <t>Eileen Duncan</t>
  </si>
  <si>
    <t>Alexis West</t>
  </si>
  <si>
    <t>Cassandra Bryant</t>
  </si>
  <si>
    <t>Michelle Valdez</t>
  </si>
  <si>
    <t>Stephanie Summers</t>
  </si>
  <si>
    <t>Tyler Gross</t>
  </si>
  <si>
    <t>Sandy Dawson</t>
  </si>
  <si>
    <t>Michelle Turner</t>
  </si>
  <si>
    <t>Donna Miller</t>
  </si>
  <si>
    <t>Andrew Brooks</t>
  </si>
  <si>
    <t>Female</t>
  </si>
  <si>
    <t>Male</t>
  </si>
  <si>
    <t>Bronx High School of Science</t>
  </si>
  <si>
    <t>Stuyvesant High School</t>
  </si>
  <si>
    <t>Townsend Harris High School</t>
  </si>
  <si>
    <t>LaGuardia High School</t>
  </si>
  <si>
    <t>Brooklyn Technical High School</t>
  </si>
  <si>
    <t>Grade 12</t>
  </si>
  <si>
    <t>Grade 9</t>
  </si>
  <si>
    <t>Grade 11</t>
  </si>
  <si>
    <t>Grade 10</t>
  </si>
  <si>
    <t>Science</t>
  </si>
  <si>
    <t>English</t>
  </si>
  <si>
    <t>Math</t>
  </si>
  <si>
    <t>History</t>
  </si>
  <si>
    <t>Art</t>
  </si>
  <si>
    <t>Final</t>
  </si>
  <si>
    <t>Midterm</t>
  </si>
  <si>
    <t>Kevin Carson</t>
  </si>
  <si>
    <t>Kathryn Paul</t>
  </si>
  <si>
    <t>Juan Reynolds</t>
  </si>
  <si>
    <t>Scott Rodgers DDS</t>
  </si>
  <si>
    <t>Jeffrey Miller</t>
  </si>
  <si>
    <t>Deborah Clark</t>
  </si>
  <si>
    <t>Curtis Norman</t>
  </si>
  <si>
    <t>Nicole Hoffman</t>
  </si>
  <si>
    <t>Erik Grant</t>
  </si>
  <si>
    <t>Michael Gay</t>
  </si>
  <si>
    <t>Yes</t>
  </si>
  <si>
    <t>No</t>
  </si>
  <si>
    <t>$</t>
  </si>
  <si>
    <t>تثبيت المرجع</t>
  </si>
  <si>
    <t>&amp;</t>
  </si>
  <si>
    <t>دمج</t>
  </si>
  <si>
    <t>[]</t>
  </si>
  <si>
    <t>اختياري</t>
  </si>
  <si>
    <t>Count of Student ID</t>
  </si>
  <si>
    <t>Row Labels</t>
  </si>
  <si>
    <t>Grand Total</t>
  </si>
  <si>
    <t>Sum of Score</t>
  </si>
  <si>
    <t>Average of Score</t>
  </si>
  <si>
    <t>yes</t>
  </si>
  <si>
    <t>no</t>
  </si>
  <si>
    <t>90-100</t>
  </si>
  <si>
    <t>80-89</t>
  </si>
  <si>
    <t>70-79</t>
  </si>
  <si>
    <t>60-69</t>
  </si>
  <si>
    <t>50-59</t>
  </si>
  <si>
    <t>40-49</t>
  </si>
  <si>
    <t>30-39</t>
  </si>
  <si>
    <t>20-29</t>
  </si>
  <si>
    <t>10-19</t>
  </si>
  <si>
    <t>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</si>
</sst>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17365D"/>
        <bgColor indexed="64"/>
      </patternFill>
    </fill>
  </fills>
  <borders count="2">
    <border>
      <left/>
      <right/>
      <top/>
      <bottom/>
      <diagonal/>
    </border>
    <border>
      <left style="thin">
        <color auto="1"/>
      </left>
      <right style="thin">
        <color auto="1"/>
      </right>
      <top/>
      <bottom style="thin">
        <color auto="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1">
    <xf numFmtId="0" fontId="0" fillId="0" borderId="0" xfId="0"/>
    <xf numFmtId="2" fontId="0" fillId="0" borderId="0" xfId="0" applyNumberFormat="1"/>
    <xf numFmtId="0" fontId="1" fillId="0" borderId="1" xfId="0" applyFont="1" applyBorder="1" applyAlignment="1">
      <alignment horizontal="center" vertical="top"/>
    </xf>
    <xf numFmtId="0" fontId="0" fillId="2" borderId="0" xfId="0" applyFill="1"/>
    <xf numFmtId="0" fontId="0" fillId="0" borderId="0" xfId="0" pivotButton="1"/>
    <xf numFmtId="0" fontId="0" fillId="0" borderId="0" xfId="0" applyAlignment="1">
      <alignment horizontal="left"/>
    </xf>
    <xf numFmtId="43" fontId="0" fillId="0" borderId="0" xfId="1" applyFont="1"/>
    <xf numFmtId="10" fontId="0" fillId="0" borderId="0" xfId="2" applyNumberFormat="1" applyFont="1"/>
    <xf numFmtId="0" fontId="3" fillId="2" borderId="0" xfId="0" applyFont="1" applyFill="1"/>
    <xf numFmtId="0" fontId="0" fillId="0" borderId="0" xfId="0" applyNumberFormat="1"/>
    <xf numFmtId="43" fontId="1" fillId="0" borderId="1" xfId="1" applyFont="1" applyBorder="1" applyAlignment="1">
      <alignment horizontal="center" vertical="top"/>
    </xf>
  </cellXfs>
  <cellStyles count="3">
    <cellStyle name="Comma" xfId="1" builtinId="3"/>
    <cellStyle name="Normal" xfId="0" builtinId="0"/>
    <cellStyle name="Percent" xfId="2" builtinId="5"/>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1736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(Recovered).xlsx]pivot table!PivotTable4</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600" b="1" i="0" u="none" strike="noStrike" cap="all" baseline="0"/>
              <a:t>Average Score by Subject </a:t>
            </a:r>
            <a:endParaRPr lang="en-US"/>
          </a:p>
        </c:rich>
      </c:tx>
      <c:layout>
        <c:manualLayout>
          <c:xMode val="edge"/>
          <c:yMode val="edge"/>
          <c:x val="0.1543713686430222"/>
          <c:y val="0.13159534231268566"/>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table'!$R$5</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FF0-4E75-817A-F750EC98D66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FF0-4E75-817A-F750EC98D66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7FF0-4E75-817A-F750EC98D66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FF0-4E75-817A-F750EC98D66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7FF0-4E75-817A-F750EC98D66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table'!$Q$6:$Q$11</c:f>
              <c:strCache>
                <c:ptCount val="5"/>
                <c:pt idx="0">
                  <c:v>Art</c:v>
                </c:pt>
                <c:pt idx="1">
                  <c:v>English</c:v>
                </c:pt>
                <c:pt idx="2">
                  <c:v>History</c:v>
                </c:pt>
                <c:pt idx="3">
                  <c:v>Math</c:v>
                </c:pt>
                <c:pt idx="4">
                  <c:v>Science</c:v>
                </c:pt>
              </c:strCache>
            </c:strRef>
          </c:cat>
          <c:val>
            <c:numRef>
              <c:f>'pivot table'!$R$6:$R$11</c:f>
              <c:numCache>
                <c:formatCode>General</c:formatCode>
                <c:ptCount val="5"/>
                <c:pt idx="0">
                  <c:v>75.17</c:v>
                </c:pt>
                <c:pt idx="1">
                  <c:v>75.577319587628864</c:v>
                </c:pt>
                <c:pt idx="2">
                  <c:v>75.336842105263159</c:v>
                </c:pt>
                <c:pt idx="3">
                  <c:v>77.613207547169807</c:v>
                </c:pt>
                <c:pt idx="4">
                  <c:v>74.28155339805825</c:v>
                </c:pt>
              </c:numCache>
            </c:numRef>
          </c:val>
          <c:extLst>
            <c:ext xmlns:c16="http://schemas.microsoft.com/office/drawing/2014/chart" uri="{C3380CC4-5D6E-409C-BE32-E72D297353CC}">
              <c16:uniqueId val="{00000000-7FF0-4E75-817A-F750EC98D665}"/>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[Student_Performance_Data (Recovered).xlsx]pivot table!PivotTable5</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 Score by School </a:t>
            </a:r>
          </a:p>
        </c:rich>
      </c:tx>
      <c:layout>
        <c:manualLayout>
          <c:xMode val="edge"/>
          <c:yMode val="edge"/>
          <c:x val="0.16367763957948905"/>
          <c:y val="0.12693021939465837"/>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table'!$C$16</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table'!$B$17:$B$22</c:f>
              <c:strCache>
                <c:ptCount val="5"/>
                <c:pt idx="0">
                  <c:v>Bronx High School of Science</c:v>
                </c:pt>
                <c:pt idx="1">
                  <c:v>Brooklyn Technical High School</c:v>
                </c:pt>
                <c:pt idx="2">
                  <c:v>LaGuardia High School</c:v>
                </c:pt>
                <c:pt idx="3">
                  <c:v>Stuyvesant High School</c:v>
                </c:pt>
                <c:pt idx="4">
                  <c:v>Townsend Harris High School</c:v>
                </c:pt>
              </c:strCache>
            </c:strRef>
          </c:cat>
          <c:val>
            <c:numRef>
              <c:f>'pivot table'!$C$17:$C$22</c:f>
              <c:numCache>
                <c:formatCode>General</c:formatCode>
                <c:ptCount val="5"/>
                <c:pt idx="0">
                  <c:v>75.227272727272734</c:v>
                </c:pt>
                <c:pt idx="1">
                  <c:v>76.3125</c:v>
                </c:pt>
                <c:pt idx="2">
                  <c:v>75.367346938775512</c:v>
                </c:pt>
                <c:pt idx="3">
                  <c:v>75.386138613861391</c:v>
                </c:pt>
                <c:pt idx="4">
                  <c:v>75.737288135593218</c:v>
                </c:pt>
              </c:numCache>
            </c:numRef>
          </c:val>
          <c:extLst>
            <c:ext xmlns:c16="http://schemas.microsoft.com/office/drawing/2014/chart" uri="{C3380CC4-5D6E-409C-BE32-E72D297353CC}">
              <c16:uniqueId val="{00000000-C2B2-43B8-9981-CA6B9884AB50}"/>
            </c:ext>
          </c:extLst>
        </c:ser>
        <c:dLbls>
          <c:dLblPos val="outEnd"/>
          <c:showLegendKey val="0"/>
          <c:showVal val="1"/>
          <c:showCatName val="0"/>
          <c:showSerName val="0"/>
          <c:showPercent val="0"/>
          <c:showBubbleSize val="0"/>
        </c:dLbls>
        <c:gapWidth val="326"/>
        <c:overlap val="-58"/>
        <c:axId val="582326608"/>
        <c:axId val="582329128"/>
      </c:barChart>
      <c:catAx>
        <c:axId val="58232660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29128"/>
        <c:crosses val="autoZero"/>
        <c:auto val="1"/>
        <c:lblAlgn val="ctr"/>
        <c:lblOffset val="100"/>
        <c:noMultiLvlLbl val="0"/>
      </c:catAx>
      <c:valAx>
        <c:axId val="582329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2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[Student_Performance_Data (Recovered).xlsx]pivot table!PivotTable8</c:name>
    <c:fmtId val="0"/>
  </c:pivotSource>
  <c:chart>
    <c:title>
      <c:layout>
        <c:manualLayout>
          <c:xMode val="edge"/>
          <c:yMode val="edge"/>
          <c:x val="0.49379855643044618"/>
          <c:y val="8.125871058570509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table'!$R$16</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cat>
            <c:strRef>
              <c:f>'pivot table'!$Q$17:$Q$19</c:f>
              <c:strCache>
                <c:ptCount val="2"/>
                <c:pt idx="0">
                  <c:v>Final</c:v>
                </c:pt>
                <c:pt idx="1">
                  <c:v>Midterm</c:v>
                </c:pt>
              </c:strCache>
            </c:strRef>
          </c:cat>
          <c:val>
            <c:numRef>
              <c:f>'pivot table'!$R$17:$R$19</c:f>
              <c:numCache>
                <c:formatCode>General</c:formatCode>
                <c:ptCount val="2"/>
                <c:pt idx="0">
                  <c:v>75.146341463414629</c:v>
                </c:pt>
                <c:pt idx="1">
                  <c:v>76.066666666666663</c:v>
                </c:pt>
              </c:numCache>
            </c:numRef>
          </c:val>
          <c:extLst>
            <c:ext xmlns:c16="http://schemas.microsoft.com/office/drawing/2014/chart" uri="{C3380CC4-5D6E-409C-BE32-E72D297353CC}">
              <c16:uniqueId val="{00000000-EE1E-4B49-922D-FE537B8EE8BC}"/>
            </c:ext>
          </c:extLst>
        </c:ser>
        <c:dLbls>
          <c:showLegendKey val="0"/>
          <c:showVal val="0"/>
          <c:showCatName val="0"/>
          <c:showSerName val="0"/>
          <c:showPercent val="0"/>
          <c:showBubbleSize val="0"/>
        </c:dLbls>
        <c:gapWidth val="326"/>
        <c:overlap val="-58"/>
        <c:axId val="578344216"/>
        <c:axId val="578342416"/>
      </c:barChart>
      <c:catAx>
        <c:axId val="57834421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342416"/>
        <c:crosses val="autoZero"/>
        <c:auto val="1"/>
        <c:lblAlgn val="ctr"/>
        <c:lblOffset val="100"/>
        <c:noMultiLvlLbl val="0"/>
      </c:catAx>
      <c:valAx>
        <c:axId val="57834241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344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[Student_Performance_Data (Recovered).xlsx]pivot table!PivotTable6</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Score By Grade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table'!$H$16</c:f>
              <c:strCache>
                <c:ptCount val="1"/>
                <c:pt idx="0">
                  <c:v>Total</c:v>
                </c:pt>
              </c:strCache>
            </c:strRef>
          </c:tx>
          <c:dPt>
            <c:idx val="0"/>
            <c:bubble3D val="0"/>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790-4D2C-AE5E-19EEDE506744}"/>
              </c:ext>
            </c:extLst>
          </c:dPt>
          <c:dPt>
            <c:idx val="1"/>
            <c:bubble3D val="0"/>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790-4D2C-AE5E-19EEDE506744}"/>
              </c:ext>
            </c:extLst>
          </c:dPt>
          <c:dPt>
            <c:idx val="2"/>
            <c:bubble3D val="0"/>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790-4D2C-AE5E-19EEDE506744}"/>
              </c:ext>
            </c:extLst>
          </c:dPt>
          <c:dPt>
            <c:idx val="3"/>
            <c:bubble3D val="0"/>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790-4D2C-AE5E-19EEDE5067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table'!$G$17:$G$21</c:f>
              <c:strCache>
                <c:ptCount val="4"/>
                <c:pt idx="0">
                  <c:v>Grade 10</c:v>
                </c:pt>
                <c:pt idx="1">
                  <c:v>Grade 11</c:v>
                </c:pt>
                <c:pt idx="2">
                  <c:v>Grade 12</c:v>
                </c:pt>
                <c:pt idx="3">
                  <c:v>Grade 9</c:v>
                </c:pt>
              </c:strCache>
            </c:strRef>
          </c:cat>
          <c:val>
            <c:numRef>
              <c:f>'pivot table'!$H$17:$H$21</c:f>
              <c:numCache>
                <c:formatCode>General</c:formatCode>
                <c:ptCount val="4"/>
                <c:pt idx="0">
                  <c:v>9671</c:v>
                </c:pt>
                <c:pt idx="1">
                  <c:v>10786</c:v>
                </c:pt>
                <c:pt idx="2">
                  <c:v>6709</c:v>
                </c:pt>
                <c:pt idx="3">
                  <c:v>10717</c:v>
                </c:pt>
              </c:numCache>
            </c:numRef>
          </c:val>
          <c:extLst>
            <c:ext xmlns:c16="http://schemas.microsoft.com/office/drawing/2014/chart" uri="{C3380CC4-5D6E-409C-BE32-E72D297353CC}">
              <c16:uniqueId val="{00000000-7656-4254-A7B8-D5FBBA5AF28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(Recovered).xlsx]pivot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table'!$M$19</c:f>
              <c:strCache>
                <c:ptCount val="1"/>
                <c:pt idx="0">
                  <c:v>Total</c:v>
                </c:pt>
              </c:strCache>
            </c:strRef>
          </c:tx>
          <c:spPr>
            <a:solidFill>
              <a:schemeClr val="accent1"/>
            </a:solidFill>
            <a:ln>
              <a:noFill/>
            </a:ln>
            <a:effectLst/>
          </c:spPr>
          <c:invertIfNegative val="0"/>
          <c:cat>
            <c:strRef>
              <c:f>'pivot table'!$L$20:$L$30</c:f>
              <c:strCache>
                <c:ptCount val="10"/>
                <c:pt idx="0">
                  <c:v>Curtis Norman</c:v>
                </c:pt>
                <c:pt idx="1">
                  <c:v>Deborah Clark</c:v>
                </c:pt>
                <c:pt idx="2">
                  <c:v>Erik Grant</c:v>
                </c:pt>
                <c:pt idx="3">
                  <c:v>Jeffrey Miller</c:v>
                </c:pt>
                <c:pt idx="4">
                  <c:v>Juan Reynolds</c:v>
                </c:pt>
                <c:pt idx="5">
                  <c:v>Kathryn Paul</c:v>
                </c:pt>
                <c:pt idx="6">
                  <c:v>Kevin Carson</c:v>
                </c:pt>
                <c:pt idx="7">
                  <c:v>Michael Gay</c:v>
                </c:pt>
                <c:pt idx="8">
                  <c:v>Nicole Hoffman</c:v>
                </c:pt>
                <c:pt idx="9">
                  <c:v>Scott Rodgers DDS</c:v>
                </c:pt>
              </c:strCache>
            </c:strRef>
          </c:cat>
          <c:val>
            <c:numRef>
              <c:f>'pivot table'!$M$20:$M$30</c:f>
              <c:numCache>
                <c:formatCode>General</c:formatCode>
                <c:ptCount val="10"/>
                <c:pt idx="0">
                  <c:v>3797</c:v>
                </c:pt>
                <c:pt idx="1">
                  <c:v>4554</c:v>
                </c:pt>
                <c:pt idx="2">
                  <c:v>4773</c:v>
                </c:pt>
                <c:pt idx="3">
                  <c:v>3692</c:v>
                </c:pt>
                <c:pt idx="4">
                  <c:v>3576</c:v>
                </c:pt>
                <c:pt idx="5">
                  <c:v>3518</c:v>
                </c:pt>
                <c:pt idx="6">
                  <c:v>3752</c:v>
                </c:pt>
                <c:pt idx="7">
                  <c:v>3889</c:v>
                </c:pt>
                <c:pt idx="8">
                  <c:v>3527</c:v>
                </c:pt>
                <c:pt idx="9">
                  <c:v>2805</c:v>
                </c:pt>
              </c:numCache>
            </c:numRef>
          </c:val>
          <c:extLst>
            <c:ext xmlns:c16="http://schemas.microsoft.com/office/drawing/2014/chart" uri="{C3380CC4-5D6E-409C-BE32-E72D297353CC}">
              <c16:uniqueId val="{00000000-8675-440F-B9FC-22B794FF7338}"/>
            </c:ext>
          </c:extLst>
        </c:ser>
        <c:dLbls>
          <c:showLegendKey val="0"/>
          <c:showVal val="0"/>
          <c:showCatName val="0"/>
          <c:showSerName val="0"/>
          <c:showPercent val="0"/>
          <c:showBubbleSize val="0"/>
        </c:dLbls>
        <c:gapWidth val="219"/>
        <c:overlap val="-27"/>
        <c:axId val="561166752"/>
        <c:axId val="561160272"/>
      </c:barChart>
      <c:catAx>
        <c:axId val="56116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160272"/>
        <c:crosses val="autoZero"/>
        <c:auto val="1"/>
        <c:lblAlgn val="ctr"/>
        <c:lblOffset val="100"/>
        <c:noMultiLvlLbl val="0"/>
      </c:catAx>
      <c:valAx>
        <c:axId val="56116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16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[Student_Performance_Data (Recovered).xlsx]pivot table!PivotTable14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cap="all" baseline="0"/>
              <a:t>Score Distribution</a:t>
            </a:r>
            <a:endParaRPr lang="en-US"/>
          </a:p>
        </c:rich>
      </c:tx>
      <c:layout>
        <c:manualLayout>
          <c:xMode val="edge"/>
          <c:yMode val="edge"/>
          <c:x val="0.394714572674913"/>
          <c:y val="0.1100904053659959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8705161854749E-2"/>
          <c:y val="0.19793780985710119"/>
          <c:w val="0.86267825896762906"/>
          <c:h val="0.6308686934966462"/>
        </c:manualLayout>
      </c:layout>
      <c:barChart>
        <c:barDir val="col"/>
        <c:grouping val="clustered"/>
        <c:varyColors val="0"/>
        <c:ser>
          <c:idx val="0"/>
          <c:order val="0"/>
          <c:tx>
            <c:strRef>
              <c:f>'pivot table'!$M$39</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table'!$L$40:$L$45</c:f>
              <c:strCache>
                <c:ptCount val="5"/>
                <c:pt idx="0">
                  <c:v>50-59</c:v>
                </c:pt>
                <c:pt idx="1">
                  <c:v>60-69</c:v>
                </c:pt>
                <c:pt idx="2">
                  <c:v>70-79</c:v>
                </c:pt>
                <c:pt idx="3">
                  <c:v>80-89</c:v>
                </c:pt>
                <c:pt idx="4">
                  <c:v>90-100</c:v>
                </c:pt>
              </c:strCache>
            </c:strRef>
          </c:cat>
          <c:val>
            <c:numRef>
              <c:f>'pivot table'!$M$40:$M$45</c:f>
              <c:numCache>
                <c:formatCode>General</c:formatCode>
                <c:ptCount val="5"/>
                <c:pt idx="0">
                  <c:v>104</c:v>
                </c:pt>
                <c:pt idx="1">
                  <c:v>85</c:v>
                </c:pt>
                <c:pt idx="2">
                  <c:v>88</c:v>
                </c:pt>
                <c:pt idx="3">
                  <c:v>98</c:v>
                </c:pt>
                <c:pt idx="4">
                  <c:v>126</c:v>
                </c:pt>
              </c:numCache>
            </c:numRef>
          </c:val>
          <c:extLst>
            <c:ext xmlns:c16="http://schemas.microsoft.com/office/drawing/2014/chart" uri="{C3380CC4-5D6E-409C-BE32-E72D297353CC}">
              <c16:uniqueId val="{00000000-5858-4D78-97D7-DD60A169F086}"/>
            </c:ext>
          </c:extLst>
        </c:ser>
        <c:dLbls>
          <c:dLblPos val="outEnd"/>
          <c:showLegendKey val="0"/>
          <c:showVal val="1"/>
          <c:showCatName val="0"/>
          <c:showSerName val="0"/>
          <c:showPercent val="0"/>
          <c:showBubbleSize val="0"/>
        </c:dLbls>
        <c:gapWidth val="355"/>
        <c:overlap val="-70"/>
        <c:axId val="592596192"/>
        <c:axId val="592596912"/>
      </c:barChart>
      <c:catAx>
        <c:axId val="59259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596912"/>
        <c:crosses val="autoZero"/>
        <c:auto val="1"/>
        <c:lblAlgn val="ctr"/>
        <c:lblOffset val="100"/>
        <c:noMultiLvlLbl val="0"/>
      </c:catAx>
      <c:valAx>
        <c:axId val="59259691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59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[Student_Performance_Data (Recovered).xlsx]pivot table!PivotTable4</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b="1" i="0" u="none" strike="noStrike" cap="all" baseline="0"/>
              <a:t>Average Score by Subject </a:t>
            </a:r>
            <a:endParaRPr lang="en-US" sz="1200"/>
          </a:p>
        </c:rich>
      </c:tx>
      <c:layout>
        <c:manualLayout>
          <c:xMode val="edge"/>
          <c:yMode val="edge"/>
          <c:x val="0.36096199131650597"/>
          <c:y val="2.3332492691082638E-3"/>
        </c:manualLayout>
      </c:layout>
      <c:overlay val="0"/>
      <c:spPr>
        <a:noFill/>
        <a:ln>
          <a:noFill/>
        </a:ln>
        <a:effectLst/>
      </c:spPr>
    </c:title>
    <c:autoTitleDeleted val="0"/>
    <c:pivotFmts>
      <c:pivotFmt>
        <c:idx val="0"/>
        <c:spPr>
          <a:solidFill>
            <a:schemeClr val="accent3"/>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3">
              <a:tint val="54000"/>
            </a:schemeClr>
          </a:solidFill>
          <a:ln>
            <a:noFill/>
          </a:ln>
          <a:effectLst>
            <a:outerShdw blurRad="63500" sx="102000" sy="102000" algn="ctr" rotWithShape="0">
              <a:prstClr val="black">
                <a:alpha val="20000"/>
              </a:prstClr>
            </a:outerShdw>
          </a:effectLst>
        </c:spPr>
      </c:pivotFmt>
      <c:pivotFmt>
        <c:idx val="14"/>
        <c:spPr>
          <a:solidFill>
            <a:schemeClr val="accent3">
              <a:tint val="77000"/>
            </a:schemeClr>
          </a:solidFill>
          <a:ln>
            <a:noFill/>
          </a:ln>
          <a:effectLst>
            <a:outerShdw blurRad="63500" sx="102000" sy="102000" algn="ctr" rotWithShape="0">
              <a:prstClr val="black">
                <a:alpha val="20000"/>
              </a:prstClr>
            </a:outerShdw>
          </a:effectLst>
        </c:spPr>
      </c:pivotFmt>
      <c:pivotFmt>
        <c:idx val="15"/>
        <c:spPr>
          <a:solidFill>
            <a:schemeClr val="accent3"/>
          </a:solidFill>
          <a:ln>
            <a:noFill/>
          </a:ln>
          <a:effectLst>
            <a:outerShdw blurRad="63500" sx="102000" sy="102000" algn="ctr" rotWithShape="0">
              <a:prstClr val="black">
                <a:alpha val="20000"/>
              </a:prstClr>
            </a:outerShdw>
          </a:effectLst>
        </c:spPr>
      </c:pivotFmt>
      <c:pivotFmt>
        <c:idx val="16"/>
        <c:spPr>
          <a:solidFill>
            <a:schemeClr val="accent3">
              <a:shade val="76000"/>
            </a:schemeClr>
          </a:solidFill>
          <a:ln>
            <a:noFill/>
          </a:ln>
          <a:effectLst>
            <a:outerShdw blurRad="63500" sx="102000" sy="102000" algn="ctr" rotWithShape="0">
              <a:prstClr val="black">
                <a:alpha val="20000"/>
              </a:prstClr>
            </a:outerShdw>
          </a:effectLst>
        </c:spPr>
      </c:pivotFmt>
      <c:pivotFmt>
        <c:idx val="17"/>
        <c:spPr>
          <a:solidFill>
            <a:schemeClr val="accent3">
              <a:shade val="53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table'!$R$5</c:f>
              <c:strCache>
                <c:ptCount val="1"/>
                <c:pt idx="0">
                  <c:v>Total</c:v>
                </c:pt>
              </c:strCache>
            </c:strRef>
          </c:tx>
          <c:dPt>
            <c:idx val="0"/>
            <c:bubble3D val="0"/>
            <c:spPr>
              <a:solidFill>
                <a:schemeClr val="accent3">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EB3-41DF-8F0C-A593F9D3FEC7}"/>
              </c:ext>
            </c:extLst>
          </c:dPt>
          <c:dPt>
            <c:idx val="1"/>
            <c:bubble3D val="0"/>
            <c:spPr>
              <a:solidFill>
                <a:schemeClr val="accent3">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EB3-41DF-8F0C-A593F9D3FEC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EB3-41DF-8F0C-A593F9D3FEC7}"/>
              </c:ext>
            </c:extLst>
          </c:dPt>
          <c:dPt>
            <c:idx val="3"/>
            <c:bubble3D val="0"/>
            <c:spPr>
              <a:solidFill>
                <a:schemeClr val="accent3">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EB3-41DF-8F0C-A593F9D3FEC7}"/>
              </c:ext>
            </c:extLst>
          </c:dPt>
          <c:dPt>
            <c:idx val="4"/>
            <c:bubble3D val="0"/>
            <c:spPr>
              <a:solidFill>
                <a:schemeClr val="accent3">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EB3-41DF-8F0C-A593F9D3FEC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table'!$Q$6:$Q$11</c:f>
              <c:strCache>
                <c:ptCount val="5"/>
                <c:pt idx="0">
                  <c:v>Art</c:v>
                </c:pt>
                <c:pt idx="1">
                  <c:v>English</c:v>
                </c:pt>
                <c:pt idx="2">
                  <c:v>History</c:v>
                </c:pt>
                <c:pt idx="3">
                  <c:v>Math</c:v>
                </c:pt>
                <c:pt idx="4">
                  <c:v>Science</c:v>
                </c:pt>
              </c:strCache>
            </c:strRef>
          </c:cat>
          <c:val>
            <c:numRef>
              <c:f>'pivot table'!$R$6:$R$11</c:f>
              <c:numCache>
                <c:formatCode>General</c:formatCode>
                <c:ptCount val="5"/>
                <c:pt idx="0">
                  <c:v>75.17</c:v>
                </c:pt>
                <c:pt idx="1">
                  <c:v>75.577319587628864</c:v>
                </c:pt>
                <c:pt idx="2">
                  <c:v>75.336842105263159</c:v>
                </c:pt>
                <c:pt idx="3">
                  <c:v>77.613207547169807</c:v>
                </c:pt>
                <c:pt idx="4">
                  <c:v>74.28155339805825</c:v>
                </c:pt>
              </c:numCache>
            </c:numRef>
          </c:val>
          <c:extLst>
            <c:ext xmlns:c16="http://schemas.microsoft.com/office/drawing/2014/chart" uri="{C3380CC4-5D6E-409C-BE32-E72D297353CC}">
              <c16:uniqueId val="{0000000A-3EB3-41DF-8F0C-A593F9D3FEC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[Student_Performance_Data (Recovered).xlsx]pivot table!PivotTable5</c:name>
    <c:fmtId val="1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Average Score by School </a:t>
            </a:r>
          </a:p>
        </c:rich>
      </c:tx>
      <c:layout>
        <c:manualLayout>
          <c:xMode val="edge"/>
          <c:yMode val="edge"/>
          <c:x val="0.2934927856737049"/>
          <c:y val="2.8485320148934869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821038693955744"/>
          <c:y val="0.17989235174274545"/>
          <c:w val="0.33045182858403882"/>
          <c:h val="0.68491960795110396"/>
        </c:manualLayout>
      </c:layout>
      <c:barChart>
        <c:barDir val="bar"/>
        <c:grouping val="clustered"/>
        <c:varyColors val="0"/>
        <c:ser>
          <c:idx val="0"/>
          <c:order val="0"/>
          <c:tx>
            <c:strRef>
              <c:f>'pivot table'!$C$16</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table'!$B$17:$B$22</c:f>
              <c:strCache>
                <c:ptCount val="5"/>
                <c:pt idx="0">
                  <c:v>Bronx High School of Science</c:v>
                </c:pt>
                <c:pt idx="1">
                  <c:v>Brooklyn Technical High School</c:v>
                </c:pt>
                <c:pt idx="2">
                  <c:v>LaGuardia High School</c:v>
                </c:pt>
                <c:pt idx="3">
                  <c:v>Stuyvesant High School</c:v>
                </c:pt>
                <c:pt idx="4">
                  <c:v>Townsend Harris High School</c:v>
                </c:pt>
              </c:strCache>
            </c:strRef>
          </c:cat>
          <c:val>
            <c:numRef>
              <c:f>'pivot table'!$C$17:$C$22</c:f>
              <c:numCache>
                <c:formatCode>General</c:formatCode>
                <c:ptCount val="5"/>
                <c:pt idx="0">
                  <c:v>75.227272727272734</c:v>
                </c:pt>
                <c:pt idx="1">
                  <c:v>76.3125</c:v>
                </c:pt>
                <c:pt idx="2">
                  <c:v>75.367346938775512</c:v>
                </c:pt>
                <c:pt idx="3">
                  <c:v>75.386138613861391</c:v>
                </c:pt>
                <c:pt idx="4">
                  <c:v>75.737288135593218</c:v>
                </c:pt>
              </c:numCache>
            </c:numRef>
          </c:val>
          <c:extLst>
            <c:ext xmlns:c16="http://schemas.microsoft.com/office/drawing/2014/chart" uri="{C3380CC4-5D6E-409C-BE32-E72D297353CC}">
              <c16:uniqueId val="{00000000-ED6D-427C-82CE-61F682B4BF97}"/>
            </c:ext>
          </c:extLst>
        </c:ser>
        <c:dLbls>
          <c:dLblPos val="outEnd"/>
          <c:showLegendKey val="0"/>
          <c:showVal val="1"/>
          <c:showCatName val="0"/>
          <c:showSerName val="0"/>
          <c:showPercent val="0"/>
          <c:showBubbleSize val="0"/>
        </c:dLbls>
        <c:gapWidth val="326"/>
        <c:overlap val="-58"/>
        <c:axId val="582326608"/>
        <c:axId val="582329128"/>
      </c:barChart>
      <c:catAx>
        <c:axId val="58232660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29128"/>
        <c:crosses val="autoZero"/>
        <c:auto val="1"/>
        <c:lblAlgn val="ctr"/>
        <c:lblOffset val="100"/>
        <c:noMultiLvlLbl val="0"/>
      </c:catAx>
      <c:valAx>
        <c:axId val="582329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2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[Student_Performance_Data (Recovered).xlsx]pivot table!PivotTable8</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Exam</a:t>
            </a:r>
            <a:r>
              <a:rPr lang="en-US" sz="1400" baseline="0"/>
              <a:t> score</a:t>
            </a:r>
            <a:endParaRPr lang="en-US" sz="1400"/>
          </a:p>
        </c:rich>
      </c:tx>
      <c:layout>
        <c:manualLayout>
          <c:xMode val="edge"/>
          <c:yMode val="edge"/>
          <c:x val="0.49935411198600177"/>
          <c:y val="9.3805963785212818E-3"/>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92847769028869"/>
          <c:y val="0.38413806764720448"/>
          <c:w val="0.53644181977252847"/>
          <c:h val="0.31758459437853293"/>
        </c:manualLayout>
      </c:layout>
      <c:barChart>
        <c:barDir val="bar"/>
        <c:grouping val="clustered"/>
        <c:varyColors val="0"/>
        <c:ser>
          <c:idx val="0"/>
          <c:order val="0"/>
          <c:tx>
            <c:strRef>
              <c:f>'pivot table'!$R$16</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table'!$Q$17:$Q$19</c:f>
              <c:strCache>
                <c:ptCount val="2"/>
                <c:pt idx="0">
                  <c:v>Final</c:v>
                </c:pt>
                <c:pt idx="1">
                  <c:v>Midterm</c:v>
                </c:pt>
              </c:strCache>
            </c:strRef>
          </c:cat>
          <c:val>
            <c:numRef>
              <c:f>'pivot table'!$R$17:$R$19</c:f>
              <c:numCache>
                <c:formatCode>General</c:formatCode>
                <c:ptCount val="2"/>
                <c:pt idx="0">
                  <c:v>75.146341463414629</c:v>
                </c:pt>
                <c:pt idx="1">
                  <c:v>76.066666666666663</c:v>
                </c:pt>
              </c:numCache>
            </c:numRef>
          </c:val>
          <c:extLst>
            <c:ext xmlns:c16="http://schemas.microsoft.com/office/drawing/2014/chart" uri="{C3380CC4-5D6E-409C-BE32-E72D297353CC}">
              <c16:uniqueId val="{00000000-5558-4BCC-80E0-41A853835BE1}"/>
            </c:ext>
          </c:extLst>
        </c:ser>
        <c:dLbls>
          <c:dLblPos val="outEnd"/>
          <c:showLegendKey val="0"/>
          <c:showVal val="1"/>
          <c:showCatName val="0"/>
          <c:showSerName val="0"/>
          <c:showPercent val="0"/>
          <c:showBubbleSize val="0"/>
        </c:dLbls>
        <c:gapWidth val="326"/>
        <c:overlap val="-58"/>
        <c:axId val="578344216"/>
        <c:axId val="578342416"/>
      </c:barChart>
      <c:catAx>
        <c:axId val="578344216"/>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342416"/>
        <c:crosses val="autoZero"/>
        <c:auto val="1"/>
        <c:lblAlgn val="ctr"/>
        <c:lblOffset val="100"/>
        <c:noMultiLvlLbl val="0"/>
      </c:catAx>
      <c:valAx>
        <c:axId val="5783424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344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[Student_Performance_Data (Recovered).xlsx]pivot table!PivotTable6</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cap="all" baseline="0"/>
              <a:t>total Score by Grade</a:t>
            </a:r>
            <a:endParaRPr lang="en-US"/>
          </a:p>
        </c:rich>
      </c:tx>
      <c:layout>
        <c:manualLayout>
          <c:xMode val="edge"/>
          <c:yMode val="edge"/>
          <c:x val="0.33210054732269173"/>
          <c:y val="2.691971195908204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617069418046883"/>
          <c:y val="0.16935639455324494"/>
          <c:w val="0.31948687902215489"/>
          <c:h val="0.75229602709917676"/>
        </c:manualLayout>
      </c:layout>
      <c:doughnutChart>
        <c:varyColors val="1"/>
        <c:ser>
          <c:idx val="0"/>
          <c:order val="0"/>
          <c:tx>
            <c:strRef>
              <c:f>'pivot table'!$H$16</c:f>
              <c:strCache>
                <c:ptCount val="1"/>
                <c:pt idx="0">
                  <c:v>Total</c:v>
                </c:pt>
              </c:strCache>
            </c:strRef>
          </c:tx>
          <c:dPt>
            <c:idx val="0"/>
            <c:bubble3D val="0"/>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127-47C7-B15F-2004693C321A}"/>
              </c:ext>
            </c:extLst>
          </c:dPt>
          <c:dPt>
            <c:idx val="1"/>
            <c:bubble3D val="0"/>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127-47C7-B15F-2004693C321A}"/>
              </c:ext>
            </c:extLst>
          </c:dPt>
          <c:dPt>
            <c:idx val="2"/>
            <c:bubble3D val="0"/>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127-47C7-B15F-2004693C321A}"/>
              </c:ext>
            </c:extLst>
          </c:dPt>
          <c:dPt>
            <c:idx val="3"/>
            <c:bubble3D val="0"/>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127-47C7-B15F-2004693C32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table'!$G$17:$G$21</c:f>
              <c:strCache>
                <c:ptCount val="4"/>
                <c:pt idx="0">
                  <c:v>Grade 10</c:v>
                </c:pt>
                <c:pt idx="1">
                  <c:v>Grade 11</c:v>
                </c:pt>
                <c:pt idx="2">
                  <c:v>Grade 12</c:v>
                </c:pt>
                <c:pt idx="3">
                  <c:v>Grade 9</c:v>
                </c:pt>
              </c:strCache>
            </c:strRef>
          </c:cat>
          <c:val>
            <c:numRef>
              <c:f>'pivot table'!$H$17:$H$21</c:f>
              <c:numCache>
                <c:formatCode>General</c:formatCode>
                <c:ptCount val="4"/>
                <c:pt idx="0">
                  <c:v>9671</c:v>
                </c:pt>
                <c:pt idx="1">
                  <c:v>10786</c:v>
                </c:pt>
                <c:pt idx="2">
                  <c:v>6709</c:v>
                </c:pt>
                <c:pt idx="3">
                  <c:v>10717</c:v>
                </c:pt>
              </c:numCache>
            </c:numRef>
          </c:val>
          <c:extLst>
            <c:ext xmlns:c16="http://schemas.microsoft.com/office/drawing/2014/chart" uri="{C3380CC4-5D6E-409C-BE32-E72D297353CC}">
              <c16:uniqueId val="{00000008-5127-47C7-B15F-2004693C321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[Student_Performance_Data (Recovered).xlsx]pivot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Teacher Performance </a:t>
            </a:r>
            <a:endParaRPr lang="en-US"/>
          </a:p>
        </c:rich>
      </c:tx>
      <c:layout>
        <c:manualLayout>
          <c:xMode val="edge"/>
          <c:yMode val="edge"/>
          <c:x val="0.29578478705635686"/>
          <c:y val="4.3292002292816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67032191575666"/>
          <c:y val="0.16519493971299565"/>
          <c:w val="0.87106438822806731"/>
          <c:h val="0.56743646986655416"/>
        </c:manualLayout>
      </c:layout>
      <c:barChart>
        <c:barDir val="col"/>
        <c:grouping val="clustered"/>
        <c:varyColors val="0"/>
        <c:ser>
          <c:idx val="0"/>
          <c:order val="0"/>
          <c:tx>
            <c:strRef>
              <c:f>'pivot table'!$M$19</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table'!$L$20:$L$30</c:f>
              <c:strCache>
                <c:ptCount val="10"/>
                <c:pt idx="0">
                  <c:v>Curtis Norman</c:v>
                </c:pt>
                <c:pt idx="1">
                  <c:v>Deborah Clark</c:v>
                </c:pt>
                <c:pt idx="2">
                  <c:v>Erik Grant</c:v>
                </c:pt>
                <c:pt idx="3">
                  <c:v>Jeffrey Miller</c:v>
                </c:pt>
                <c:pt idx="4">
                  <c:v>Juan Reynolds</c:v>
                </c:pt>
                <c:pt idx="5">
                  <c:v>Kathryn Paul</c:v>
                </c:pt>
                <c:pt idx="6">
                  <c:v>Kevin Carson</c:v>
                </c:pt>
                <c:pt idx="7">
                  <c:v>Michael Gay</c:v>
                </c:pt>
                <c:pt idx="8">
                  <c:v>Nicole Hoffman</c:v>
                </c:pt>
                <c:pt idx="9">
                  <c:v>Scott Rodgers DDS</c:v>
                </c:pt>
              </c:strCache>
            </c:strRef>
          </c:cat>
          <c:val>
            <c:numRef>
              <c:f>'pivot table'!$M$20:$M$30</c:f>
              <c:numCache>
                <c:formatCode>General</c:formatCode>
                <c:ptCount val="10"/>
                <c:pt idx="0">
                  <c:v>3797</c:v>
                </c:pt>
                <c:pt idx="1">
                  <c:v>4554</c:v>
                </c:pt>
                <c:pt idx="2">
                  <c:v>4773</c:v>
                </c:pt>
                <c:pt idx="3">
                  <c:v>3692</c:v>
                </c:pt>
                <c:pt idx="4">
                  <c:v>3576</c:v>
                </c:pt>
                <c:pt idx="5">
                  <c:v>3518</c:v>
                </c:pt>
                <c:pt idx="6">
                  <c:v>3752</c:v>
                </c:pt>
                <c:pt idx="7">
                  <c:v>3889</c:v>
                </c:pt>
                <c:pt idx="8">
                  <c:v>3527</c:v>
                </c:pt>
                <c:pt idx="9">
                  <c:v>2805</c:v>
                </c:pt>
              </c:numCache>
            </c:numRef>
          </c:val>
          <c:extLst>
            <c:ext xmlns:c16="http://schemas.microsoft.com/office/drawing/2014/chart" uri="{C3380CC4-5D6E-409C-BE32-E72D297353CC}">
              <c16:uniqueId val="{00000000-77F3-4BAE-B686-BC155C07EFE9}"/>
            </c:ext>
          </c:extLst>
        </c:ser>
        <c:dLbls>
          <c:dLblPos val="outEnd"/>
          <c:showLegendKey val="0"/>
          <c:showVal val="1"/>
          <c:showCatName val="0"/>
          <c:showSerName val="0"/>
          <c:showPercent val="0"/>
          <c:showBubbleSize val="0"/>
        </c:dLbls>
        <c:gapWidth val="219"/>
        <c:overlap val="-27"/>
        <c:axId val="561166752"/>
        <c:axId val="561160272"/>
      </c:barChart>
      <c:catAx>
        <c:axId val="56116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61160272"/>
        <c:crosses val="autoZero"/>
        <c:auto val="1"/>
        <c:lblAlgn val="ctr"/>
        <c:lblOffset val="100"/>
        <c:noMultiLvlLbl val="0"/>
      </c:catAx>
      <c:valAx>
        <c:axId val="561160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16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[Student_Performance_Data (Recovered).xlsx]pivot table!PivotTable14</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cap="all" baseline="0"/>
              <a:t>Score Distribution</a:t>
            </a:r>
            <a:endParaRPr lang="en-US"/>
          </a:p>
        </c:rich>
      </c:tx>
      <c:layout>
        <c:manualLayout>
          <c:xMode val="edge"/>
          <c:yMode val="edge"/>
          <c:x val="0.27504155730533686"/>
          <c:y val="2.2127442403032958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284326754981415E-2"/>
          <c:y val="8.299506742691648E-2"/>
          <c:w val="0.86267825896762906"/>
          <c:h val="0.69552391619151055"/>
        </c:manualLayout>
      </c:layout>
      <c:barChart>
        <c:barDir val="col"/>
        <c:grouping val="clustered"/>
        <c:varyColors val="0"/>
        <c:ser>
          <c:idx val="0"/>
          <c:order val="0"/>
          <c:tx>
            <c:strRef>
              <c:f>'pivot table'!$M$39</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table'!$L$40:$L$45</c:f>
              <c:strCache>
                <c:ptCount val="5"/>
                <c:pt idx="0">
                  <c:v>50-59</c:v>
                </c:pt>
                <c:pt idx="1">
                  <c:v>60-69</c:v>
                </c:pt>
                <c:pt idx="2">
                  <c:v>70-79</c:v>
                </c:pt>
                <c:pt idx="3">
                  <c:v>80-89</c:v>
                </c:pt>
                <c:pt idx="4">
                  <c:v>90-100</c:v>
                </c:pt>
              </c:strCache>
            </c:strRef>
          </c:cat>
          <c:val>
            <c:numRef>
              <c:f>'pivot table'!$M$40:$M$45</c:f>
              <c:numCache>
                <c:formatCode>General</c:formatCode>
                <c:ptCount val="5"/>
                <c:pt idx="0">
                  <c:v>104</c:v>
                </c:pt>
                <c:pt idx="1">
                  <c:v>85</c:v>
                </c:pt>
                <c:pt idx="2">
                  <c:v>88</c:v>
                </c:pt>
                <c:pt idx="3">
                  <c:v>98</c:v>
                </c:pt>
                <c:pt idx="4">
                  <c:v>126</c:v>
                </c:pt>
              </c:numCache>
            </c:numRef>
          </c:val>
          <c:extLst>
            <c:ext xmlns:c16="http://schemas.microsoft.com/office/drawing/2014/chart" uri="{C3380CC4-5D6E-409C-BE32-E72D297353CC}">
              <c16:uniqueId val="{00000000-C576-41DD-8EA4-F9767D38B490}"/>
            </c:ext>
          </c:extLst>
        </c:ser>
        <c:dLbls>
          <c:dLblPos val="outEnd"/>
          <c:showLegendKey val="0"/>
          <c:showVal val="1"/>
          <c:showCatName val="0"/>
          <c:showSerName val="0"/>
          <c:showPercent val="0"/>
          <c:showBubbleSize val="0"/>
        </c:dLbls>
        <c:gapWidth val="355"/>
        <c:overlap val="-70"/>
        <c:axId val="592596192"/>
        <c:axId val="592596912"/>
      </c:barChart>
      <c:catAx>
        <c:axId val="59259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596912"/>
        <c:crosses val="autoZero"/>
        <c:auto val="1"/>
        <c:lblAlgn val="ctr"/>
        <c:lblOffset val="100"/>
        <c:noMultiLvlLbl val="0"/>
      </c:catAx>
      <c:valAx>
        <c:axId val="592596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59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22</xdr:col>
      <xdr:colOff>1211580</xdr:colOff>
      <xdr:row>25</xdr:row>
      <xdr:rowOff>64770</xdr:rowOff>
    </xdr:from>
    <xdr:to>
      <xdr:col>39</xdr:col>
      <xdr:colOff>190500</xdr:colOff>
      <xdr:row>38</xdr:row>
      <xdr:rowOff>175260</xdr:rowOff>
    </xdr:to>
    <xdr:graphicFrame macro="">
      <xdr:nvGraphicFramePr>
        <xdr:cNvPr id="2" name="Chart 1">
          <a:extLst>
            <a:ext uri="{FF2B5EF4-FFF2-40B4-BE49-F238E27FC236}">
              <a16:creationId xmlns:a16="http://schemas.microsoft.com/office/drawing/2014/main" id="{A8C52DC3-17A8-60B7-54D9-B75CC0A99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163830</xdr:rowOff>
    </xdr:from>
    <xdr:to>
      <xdr:col>4</xdr:col>
      <xdr:colOff>160020</xdr:colOff>
      <xdr:row>50</xdr:row>
      <xdr:rowOff>0</xdr:rowOff>
    </xdr:to>
    <xdr:graphicFrame macro="">
      <xdr:nvGraphicFramePr>
        <xdr:cNvPr id="4" name="Chart 3">
          <a:extLst>
            <a:ext uri="{FF2B5EF4-FFF2-40B4-BE49-F238E27FC236}">
              <a16:creationId xmlns:a16="http://schemas.microsoft.com/office/drawing/2014/main" id="{166DF00B-012C-5DBE-1644-D26099745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304800</xdr:colOff>
      <xdr:row>24</xdr:row>
      <xdr:rowOff>41910</xdr:rowOff>
    </xdr:from>
    <xdr:to>
      <xdr:col>8</xdr:col>
      <xdr:colOff>304800</xdr:colOff>
      <xdr:row>31</xdr:row>
      <xdr:rowOff>175260</xdr:rowOff>
    </xdr:to>
    <xdr:graphicFrame macro="">
      <xdr:nvGraphicFramePr>
        <xdr:cNvPr id="5" name="Chart 4">
          <a:extLst>
            <a:ext uri="{FF2B5EF4-FFF2-40B4-BE49-F238E27FC236}">
              <a16:creationId xmlns:a16="http://schemas.microsoft.com/office/drawing/2014/main" id="{E34CD00A-F61F-EBB4-E756-35211DD06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480060</xdr:colOff>
      <xdr:row>22</xdr:row>
      <xdr:rowOff>179070</xdr:rowOff>
    </xdr:from>
    <xdr:to>
      <xdr:col>20</xdr:col>
      <xdr:colOff>251460</xdr:colOff>
      <xdr:row>31</xdr:row>
      <xdr:rowOff>91440</xdr:rowOff>
    </xdr:to>
    <xdr:graphicFrame macro="">
      <xdr:nvGraphicFramePr>
        <xdr:cNvPr id="6" name="Chart 5">
          <a:extLst>
            <a:ext uri="{FF2B5EF4-FFF2-40B4-BE49-F238E27FC236}">
              <a16:creationId xmlns:a16="http://schemas.microsoft.com/office/drawing/2014/main" id="{B5FBF339-A287-AD9A-D226-EE3265D72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510540</xdr:colOff>
      <xdr:row>36</xdr:row>
      <xdr:rowOff>95250</xdr:rowOff>
    </xdr:from>
    <xdr:to>
      <xdr:col>30</xdr:col>
      <xdr:colOff>175260</xdr:colOff>
      <xdr:row>48</xdr:row>
      <xdr:rowOff>38100</xdr:rowOff>
    </xdr:to>
    <xdr:graphicFrame macro="">
      <xdr:nvGraphicFramePr>
        <xdr:cNvPr id="7" name="Chart 6">
          <a:extLst>
            <a:ext uri="{FF2B5EF4-FFF2-40B4-BE49-F238E27FC236}">
              <a16:creationId xmlns:a16="http://schemas.microsoft.com/office/drawing/2014/main" id="{0B39DB9A-FE3F-7EB5-064C-533FF1347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167640</xdr:colOff>
      <xdr:row>55</xdr:row>
      <xdr:rowOff>72390</xdr:rowOff>
    </xdr:from>
    <xdr:to>
      <xdr:col>38</xdr:col>
      <xdr:colOff>137160</xdr:colOff>
      <xdr:row>70</xdr:row>
      <xdr:rowOff>72390</xdr:rowOff>
    </xdr:to>
    <xdr:graphicFrame macro="">
      <xdr:nvGraphicFramePr>
        <xdr:cNvPr id="8" name="Chart 7">
          <a:extLst>
            <a:ext uri="{FF2B5EF4-FFF2-40B4-BE49-F238E27FC236}">
              <a16:creationId xmlns:a16="http://schemas.microsoft.com/office/drawing/2014/main" id="{23604B78-3E98-93FB-2023-4A1188366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45720</xdr:colOff>
      <xdr:row>47</xdr:row>
      <xdr:rowOff>175261</xdr:rowOff>
    </xdr:from>
    <xdr:to>
      <xdr:col>36</xdr:col>
      <xdr:colOff>22860</xdr:colOff>
      <xdr:row>55</xdr:row>
      <xdr:rowOff>53340</xdr:rowOff>
    </xdr:to>
    <mc:AlternateContent xmlns:mc="http://schemas.openxmlformats.org/markup-compatibility/2006" xmlns:a14="http://schemas.microsoft.com/office/drawing/2010/main">
      <mc:Choice Requires="a14">
        <xdr:graphicFrame macro="">
          <xdr:nvGraphicFramePr>
            <xdr:cNvPr id="9" name="School">
              <a:extLst>
                <a:ext uri="{FF2B5EF4-FFF2-40B4-BE49-F238E27FC236}">
                  <a16:creationId xmlns:a16="http://schemas.microsoft.com/office/drawing/2014/main" id="{08D4C914-5A09-5BAB-681A-E3A5E01FCD57}"/>
                </a:ext>
              </a:extLst>
            </xdr:cNvPr>
            <xdr:cNvGraphicFramePr/>
          </xdr:nvGraphicFramePr>
          <xdr:xfrm>
            <a:off x="0" y="0"/>
            <a:ext cx="0" cy="0"/>
          </xdr:xfrm>
          <a:graphic>
            <a:graphicData uri="http://schemas.microsoft.com/office/drawing/2010/slicer">
              <sle:slicer xmlns:sle="http://schemas.microsoft.com/office/drawing/2010/slicer" name="School"/>
            </a:graphicData>
          </a:graphic>
        </xdr:graphicFrame>
      </mc:Choice>
      <mc:Fallback xmlns="">
        <xdr:sp macro="" textlink="">
          <xdr:nvSpPr>
            <xdr:cNvPr id="0" name=""/>
            <xdr:cNvSpPr>
              <a:spLocks noTextEdit="1"/>
            </xdr:cNvSpPr>
          </xdr:nvSpPr>
          <xdr:spPr>
            <a:xfrm>
              <a:off x="20253960" y="8770621"/>
              <a:ext cx="1828800" cy="1341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922020</xdr:colOff>
      <xdr:row>40</xdr:row>
      <xdr:rowOff>175261</xdr:rowOff>
    </xdr:from>
    <xdr:to>
      <xdr:col>30</xdr:col>
      <xdr:colOff>15240</xdr:colOff>
      <xdr:row>46</xdr:row>
      <xdr:rowOff>175261</xdr:rowOff>
    </xdr:to>
    <mc:AlternateContent xmlns:mc="http://schemas.openxmlformats.org/markup-compatibility/2006" xmlns:a14="http://schemas.microsoft.com/office/drawing/2010/main">
      <mc:Choice Requires="a14">
        <xdr:graphicFrame macro="">
          <xdr:nvGraphicFramePr>
            <xdr:cNvPr id="10" name="Teacher">
              <a:extLst>
                <a:ext uri="{FF2B5EF4-FFF2-40B4-BE49-F238E27FC236}">
                  <a16:creationId xmlns:a16="http://schemas.microsoft.com/office/drawing/2014/main" id="{D6202710-2B9B-2E58-658E-1FFDF1AF88A3}"/>
                </a:ext>
              </a:extLst>
            </xdr:cNvPr>
            <xdr:cNvGraphicFramePr/>
          </xdr:nvGraphicFramePr>
          <xdr:xfrm>
            <a:off x="0" y="0"/>
            <a:ext cx="0" cy="0"/>
          </xdr:xfrm>
          <a:graphic>
            <a:graphicData uri="http://schemas.microsoft.com/office/drawing/2010/slicer">
              <sle:slicer xmlns:sle="http://schemas.microsoft.com/office/drawing/2010/slicer" name="Teacher"/>
            </a:graphicData>
          </a:graphic>
        </xdr:graphicFrame>
      </mc:Choice>
      <mc:Fallback xmlns="">
        <xdr:sp macro="" textlink="">
          <xdr:nvSpPr>
            <xdr:cNvPr id="0" name=""/>
            <xdr:cNvSpPr>
              <a:spLocks noTextEdit="1"/>
            </xdr:cNvSpPr>
          </xdr:nvSpPr>
          <xdr:spPr>
            <a:xfrm>
              <a:off x="19316700" y="7490461"/>
              <a:ext cx="182880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83820</xdr:colOff>
      <xdr:row>49</xdr:row>
      <xdr:rowOff>30481</xdr:rowOff>
    </xdr:from>
    <xdr:to>
      <xdr:col>25</xdr:col>
      <xdr:colOff>0</xdr:colOff>
      <xdr:row>53</xdr:row>
      <xdr:rowOff>152400</xdr:rowOff>
    </xdr:to>
    <mc:AlternateContent xmlns:mc="http://schemas.openxmlformats.org/markup-compatibility/2006" xmlns:a14="http://schemas.microsoft.com/office/drawing/2010/main">
      <mc:Choice Requires="a14">
        <xdr:graphicFrame macro="">
          <xdr:nvGraphicFramePr>
            <xdr:cNvPr id="11" name="Pass">
              <a:extLst>
                <a:ext uri="{FF2B5EF4-FFF2-40B4-BE49-F238E27FC236}">
                  <a16:creationId xmlns:a16="http://schemas.microsoft.com/office/drawing/2014/main" id="{E14A0D2B-4087-7BC0-146B-F926347C1E39}"/>
                </a:ext>
              </a:extLst>
            </xdr:cNvPr>
            <xdr:cNvGraphicFramePr/>
          </xdr:nvGraphicFramePr>
          <xdr:xfrm>
            <a:off x="0" y="0"/>
            <a:ext cx="0" cy="0"/>
          </xdr:xfrm>
          <a:graphic>
            <a:graphicData uri="http://schemas.microsoft.com/office/drawing/2010/slicer">
              <sle:slicer xmlns:sle="http://schemas.microsoft.com/office/drawing/2010/slicer" name="Pass"/>
            </a:graphicData>
          </a:graphic>
        </xdr:graphicFrame>
      </mc:Choice>
      <mc:Fallback xmlns="">
        <xdr:sp macro="" textlink="">
          <xdr:nvSpPr>
            <xdr:cNvPr id="0" name=""/>
            <xdr:cNvSpPr>
              <a:spLocks noTextEdit="1"/>
            </xdr:cNvSpPr>
          </xdr:nvSpPr>
          <xdr:spPr>
            <a:xfrm>
              <a:off x="18966180" y="8991601"/>
              <a:ext cx="1828800" cy="853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441960</xdr:colOff>
      <xdr:row>25</xdr:row>
      <xdr:rowOff>7621</xdr:rowOff>
    </xdr:from>
    <xdr:to>
      <xdr:col>22</xdr:col>
      <xdr:colOff>190500</xdr:colOff>
      <xdr:row>30</xdr:row>
      <xdr:rowOff>106681</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1B76CE03-6F0A-A862-75F4-B6A2049034C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878300" y="4579621"/>
              <a:ext cx="1828800" cy="101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472440</xdr:colOff>
      <xdr:row>35</xdr:row>
      <xdr:rowOff>144781</xdr:rowOff>
    </xdr:from>
    <xdr:to>
      <xdr:col>19</xdr:col>
      <xdr:colOff>198120</xdr:colOff>
      <xdr:row>42</xdr:row>
      <xdr:rowOff>53340</xdr:rowOff>
    </xdr:to>
    <mc:AlternateContent xmlns:mc="http://schemas.openxmlformats.org/markup-compatibility/2006">
      <mc:Choice xmlns:a14="http://schemas.microsoft.com/office/drawing/2010/main" Requires="a14">
        <xdr:graphicFrame macro="">
          <xdr:nvGraphicFramePr>
            <xdr:cNvPr id="3" name="Subject">
              <a:extLst>
                <a:ext uri="{FF2B5EF4-FFF2-40B4-BE49-F238E27FC236}">
                  <a16:creationId xmlns:a16="http://schemas.microsoft.com/office/drawing/2014/main" id="{C3EBBDA3-7038-6854-6030-54A9CCF0C8DA}"/>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15575280" y="6545581"/>
              <a:ext cx="182880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22860</xdr:colOff>
      <xdr:row>3</xdr:row>
      <xdr:rowOff>175260</xdr:rowOff>
    </xdr:to>
    <xdr:sp macro="" textlink="">
      <xdr:nvSpPr>
        <xdr:cNvPr id="2" name="Rectangle 1">
          <a:extLst>
            <a:ext uri="{FF2B5EF4-FFF2-40B4-BE49-F238E27FC236}">
              <a16:creationId xmlns:a16="http://schemas.microsoft.com/office/drawing/2014/main" id="{1BAB9FDE-DEAC-904F-E389-774297488789}"/>
            </a:ext>
          </a:extLst>
        </xdr:cNvPr>
        <xdr:cNvSpPr/>
      </xdr:nvSpPr>
      <xdr:spPr>
        <a:xfrm>
          <a:off x="0" y="0"/>
          <a:ext cx="19530060" cy="723900"/>
        </a:xfrm>
        <a:prstGeom prst="rect">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                                                Student</a:t>
          </a:r>
          <a:r>
            <a:rPr lang="en-US" sz="3200" baseline="0"/>
            <a:t> Pereformance Dashboard</a:t>
          </a:r>
          <a:endParaRPr lang="en-US" sz="3200"/>
        </a:p>
      </xdr:txBody>
    </xdr:sp>
    <xdr:clientData/>
  </xdr:twoCellAnchor>
  <xdr:twoCellAnchor>
    <xdr:from>
      <xdr:col>3</xdr:col>
      <xdr:colOff>106680</xdr:colOff>
      <xdr:row>4</xdr:row>
      <xdr:rowOff>83820</xdr:rowOff>
    </xdr:from>
    <xdr:to>
      <xdr:col>7</xdr:col>
      <xdr:colOff>335280</xdr:colOff>
      <xdr:row>8</xdr:row>
      <xdr:rowOff>53340</xdr:rowOff>
    </xdr:to>
    <xdr:sp macro="" textlink="'pivot table'!B10">
      <xdr:nvSpPr>
        <xdr:cNvPr id="4" name="Rectangle: Rounded Corners 3">
          <a:extLst>
            <a:ext uri="{FF2B5EF4-FFF2-40B4-BE49-F238E27FC236}">
              <a16:creationId xmlns:a16="http://schemas.microsoft.com/office/drawing/2014/main" id="{8C8A34EB-8249-F7CD-A022-07C0B88434BB}"/>
            </a:ext>
          </a:extLst>
        </xdr:cNvPr>
        <xdr:cNvSpPr/>
      </xdr:nvSpPr>
      <xdr:spPr>
        <a:xfrm>
          <a:off x="1935480" y="815340"/>
          <a:ext cx="2667000" cy="701040"/>
        </a:xfrm>
        <a:prstGeom prst="roundRect">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baseline="0">
              <a:solidFill>
                <a:schemeClr val="bg1"/>
              </a:solidFill>
              <a:latin typeface="Calibri"/>
              <a:cs typeface="Calibri"/>
            </a:rPr>
            <a:t>Total Studants=</a:t>
          </a:r>
          <a:fld id="{63EB27D5-D9AA-4611-B5D2-51CB703C4F8F}" type="TxLink">
            <a:rPr lang="en-US" sz="1600" b="0" i="0" u="none" strike="noStrike" baseline="0">
              <a:solidFill>
                <a:schemeClr val="bg1"/>
              </a:solidFill>
              <a:latin typeface="Calibri"/>
              <a:cs typeface="Calibri"/>
            </a:rPr>
            <a:pPr algn="ctr"/>
            <a:t>1000</a:t>
          </a:fld>
          <a:endParaRPr lang="en-US" sz="1600" baseline="0">
            <a:solidFill>
              <a:schemeClr val="bg1"/>
            </a:solidFill>
          </a:endParaRPr>
        </a:p>
      </xdr:txBody>
    </xdr:sp>
    <xdr:clientData/>
  </xdr:twoCellAnchor>
  <xdr:twoCellAnchor>
    <xdr:from>
      <xdr:col>7</xdr:col>
      <xdr:colOff>563880</xdr:colOff>
      <xdr:row>4</xdr:row>
      <xdr:rowOff>76200</xdr:rowOff>
    </xdr:from>
    <xdr:to>
      <xdr:col>13</xdr:col>
      <xdr:colOff>60960</xdr:colOff>
      <xdr:row>8</xdr:row>
      <xdr:rowOff>22860</xdr:rowOff>
    </xdr:to>
    <xdr:sp macro="" textlink="'pivot table'!G7">
      <xdr:nvSpPr>
        <xdr:cNvPr id="5" name="Rectangle: Rounded Corners 4">
          <a:extLst>
            <a:ext uri="{FF2B5EF4-FFF2-40B4-BE49-F238E27FC236}">
              <a16:creationId xmlns:a16="http://schemas.microsoft.com/office/drawing/2014/main" id="{94029440-1DFA-4B9F-87F8-2AA7AD263757}"/>
            </a:ext>
          </a:extLst>
        </xdr:cNvPr>
        <xdr:cNvSpPr/>
      </xdr:nvSpPr>
      <xdr:spPr>
        <a:xfrm>
          <a:off x="4831080" y="807720"/>
          <a:ext cx="3154680" cy="678180"/>
        </a:xfrm>
        <a:prstGeom prst="roundRect">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i="0" u="none" strike="noStrike" baseline="0">
              <a:solidFill>
                <a:schemeClr val="bg1"/>
              </a:solidFill>
              <a:latin typeface="Calibri"/>
              <a:ea typeface="+mn-ea"/>
              <a:cs typeface="Calibri"/>
            </a:rPr>
            <a:t>AVG_Score=</a:t>
          </a:r>
          <a:fld id="{0E36A4D4-9CE6-470A-87DA-7EA9564753FF}" type="TxLink">
            <a:rPr lang="en-US" sz="1600" b="0" i="0" u="none" strike="noStrike" baseline="0">
              <a:solidFill>
                <a:schemeClr val="bg1"/>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 49.62 </a:t>
          </a:fld>
          <a:endParaRPr lang="en-US" sz="1600" b="0" i="0" u="none" strike="noStrike" baseline="0">
            <a:solidFill>
              <a:schemeClr val="bg1"/>
            </a:solidFill>
            <a:latin typeface="Calibri"/>
            <a:ea typeface="+mn-ea"/>
            <a:cs typeface="Calibri"/>
          </a:endParaRPr>
        </a:p>
      </xdr:txBody>
    </xdr:sp>
    <xdr:clientData/>
  </xdr:twoCellAnchor>
  <xdr:twoCellAnchor>
    <xdr:from>
      <xdr:col>13</xdr:col>
      <xdr:colOff>281940</xdr:colOff>
      <xdr:row>4</xdr:row>
      <xdr:rowOff>76200</xdr:rowOff>
    </xdr:from>
    <xdr:to>
      <xdr:col>18</xdr:col>
      <xdr:colOff>38100</xdr:colOff>
      <xdr:row>8</xdr:row>
      <xdr:rowOff>22860</xdr:rowOff>
    </xdr:to>
    <xdr:sp macro="" textlink="'pivot table'!O148">
      <xdr:nvSpPr>
        <xdr:cNvPr id="7" name="Rectangle: Rounded Corners 6">
          <a:extLst>
            <a:ext uri="{FF2B5EF4-FFF2-40B4-BE49-F238E27FC236}">
              <a16:creationId xmlns:a16="http://schemas.microsoft.com/office/drawing/2014/main" id="{DEAD6C94-90FE-4168-B90E-39EA97F126C7}"/>
            </a:ext>
          </a:extLst>
        </xdr:cNvPr>
        <xdr:cNvSpPr/>
      </xdr:nvSpPr>
      <xdr:spPr>
        <a:xfrm>
          <a:off x="8206740" y="807720"/>
          <a:ext cx="2804160" cy="678180"/>
        </a:xfrm>
        <a:prstGeom prst="roundRect">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i="0" u="none" strike="noStrike" baseline="0">
              <a:solidFill>
                <a:schemeClr val="bg1"/>
              </a:solidFill>
              <a:latin typeface="Calibri"/>
              <a:ea typeface="+mn-ea"/>
              <a:cs typeface="Calibri"/>
            </a:rPr>
            <a:t>Pass Rate=</a:t>
          </a:r>
          <a:fld id="{A56154AE-0DDE-4154-AFB3-32BB061F17D5}" type="TxLink">
            <a:rPr lang="en-US" sz="1600" b="0" i="0" u="none" strike="noStrike" baseline="0">
              <a:solidFill>
                <a:schemeClr val="bg1"/>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50.10%</a:t>
          </a:fld>
          <a:endParaRPr lang="en-US" sz="1600" b="0" i="0" u="none" strike="noStrike" baseline="0">
            <a:solidFill>
              <a:schemeClr val="bg1"/>
            </a:solidFill>
            <a:latin typeface="Calibri"/>
            <a:ea typeface="+mn-ea"/>
            <a:cs typeface="Calibri"/>
          </a:endParaRPr>
        </a:p>
      </xdr:txBody>
    </xdr:sp>
    <xdr:clientData/>
  </xdr:twoCellAnchor>
  <xdr:twoCellAnchor>
    <xdr:from>
      <xdr:col>18</xdr:col>
      <xdr:colOff>304800</xdr:colOff>
      <xdr:row>4</xdr:row>
      <xdr:rowOff>68580</xdr:rowOff>
    </xdr:from>
    <xdr:to>
      <xdr:col>23</xdr:col>
      <xdr:colOff>60960</xdr:colOff>
      <xdr:row>8</xdr:row>
      <xdr:rowOff>15240</xdr:rowOff>
    </xdr:to>
    <xdr:sp macro="" textlink="'pivot table'!O150">
      <xdr:nvSpPr>
        <xdr:cNvPr id="8" name="Rectangle: Rounded Corners 7">
          <a:extLst>
            <a:ext uri="{FF2B5EF4-FFF2-40B4-BE49-F238E27FC236}">
              <a16:creationId xmlns:a16="http://schemas.microsoft.com/office/drawing/2014/main" id="{51E2EF73-1616-4D73-B9D2-6D6EE44EBB68}"/>
            </a:ext>
          </a:extLst>
        </xdr:cNvPr>
        <xdr:cNvSpPr/>
      </xdr:nvSpPr>
      <xdr:spPr>
        <a:xfrm>
          <a:off x="11277600" y="800100"/>
          <a:ext cx="2804160" cy="678180"/>
        </a:xfrm>
        <a:prstGeom prst="roundRect">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i="0" u="none" strike="noStrike" baseline="0">
              <a:solidFill>
                <a:schemeClr val="bg1"/>
              </a:solidFill>
              <a:latin typeface="Calibri"/>
              <a:ea typeface="+mn-ea"/>
              <a:cs typeface="Calibri"/>
            </a:rPr>
            <a:t>Fail Rate=</a:t>
          </a:r>
          <a:fld id="{2AD04DB1-741D-4163-98FC-339C1E44DFF2}" type="TxLink">
            <a:rPr lang="en-US" sz="1600" b="0" i="0" u="none" strike="noStrike" baseline="0">
              <a:solidFill>
                <a:schemeClr val="bg1"/>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49.90%</a:t>
          </a:fld>
          <a:endParaRPr lang="en-US" sz="1600" b="0" i="0" u="none" strike="noStrike" baseline="0">
            <a:solidFill>
              <a:schemeClr val="bg1"/>
            </a:solidFill>
            <a:latin typeface="Calibri"/>
            <a:ea typeface="+mn-ea"/>
            <a:cs typeface="Calibri"/>
          </a:endParaRPr>
        </a:p>
      </xdr:txBody>
    </xdr:sp>
    <xdr:clientData/>
  </xdr:twoCellAnchor>
  <xdr:twoCellAnchor>
    <xdr:from>
      <xdr:col>16</xdr:col>
      <xdr:colOff>510540</xdr:colOff>
      <xdr:row>8</xdr:row>
      <xdr:rowOff>175260</xdr:rowOff>
    </xdr:from>
    <xdr:to>
      <xdr:col>23</xdr:col>
      <xdr:colOff>22860</xdr:colOff>
      <xdr:row>19</xdr:row>
      <xdr:rowOff>160020</xdr:rowOff>
    </xdr:to>
    <xdr:graphicFrame macro="">
      <xdr:nvGraphicFramePr>
        <xdr:cNvPr id="9" name="Chart 8">
          <a:extLst>
            <a:ext uri="{FF2B5EF4-FFF2-40B4-BE49-F238E27FC236}">
              <a16:creationId xmlns:a16="http://schemas.microsoft.com/office/drawing/2014/main" id="{90507EEE-7D9B-4DDA-8621-5ECF7303A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365760</xdr:colOff>
      <xdr:row>8</xdr:row>
      <xdr:rowOff>137160</xdr:rowOff>
    </xdr:from>
    <xdr:to>
      <xdr:col>16</xdr:col>
      <xdr:colOff>358140</xdr:colOff>
      <xdr:row>19</xdr:row>
      <xdr:rowOff>91440</xdr:rowOff>
    </xdr:to>
    <xdr:graphicFrame macro="">
      <xdr:nvGraphicFramePr>
        <xdr:cNvPr id="10" name="Chart 9">
          <a:extLst>
            <a:ext uri="{FF2B5EF4-FFF2-40B4-BE49-F238E27FC236}">
              <a16:creationId xmlns:a16="http://schemas.microsoft.com/office/drawing/2014/main" id="{DB447AD2-AFE3-4FBF-88E5-139561673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426720</xdr:colOff>
      <xdr:row>20</xdr:row>
      <xdr:rowOff>0</xdr:rowOff>
    </xdr:from>
    <xdr:to>
      <xdr:col>23</xdr:col>
      <xdr:colOff>38100</xdr:colOff>
      <xdr:row>29</xdr:row>
      <xdr:rowOff>83820</xdr:rowOff>
    </xdr:to>
    <xdr:graphicFrame macro="">
      <xdr:nvGraphicFramePr>
        <xdr:cNvPr id="11" name="Chart 10">
          <a:extLst>
            <a:ext uri="{FF2B5EF4-FFF2-40B4-BE49-F238E27FC236}">
              <a16:creationId xmlns:a16="http://schemas.microsoft.com/office/drawing/2014/main" id="{3FD5E817-0B16-42FC-B826-5B3A05D1A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388620</xdr:colOff>
      <xdr:row>19</xdr:row>
      <xdr:rowOff>137160</xdr:rowOff>
    </xdr:from>
    <xdr:to>
      <xdr:col>16</xdr:col>
      <xdr:colOff>320040</xdr:colOff>
      <xdr:row>29</xdr:row>
      <xdr:rowOff>91440</xdr:rowOff>
    </xdr:to>
    <xdr:graphicFrame macro="">
      <xdr:nvGraphicFramePr>
        <xdr:cNvPr id="12" name="Chart 11">
          <a:extLst>
            <a:ext uri="{FF2B5EF4-FFF2-40B4-BE49-F238E27FC236}">
              <a16:creationId xmlns:a16="http://schemas.microsoft.com/office/drawing/2014/main" id="{813B27C8-6168-459E-A4B2-181112853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541020</xdr:colOff>
      <xdr:row>8</xdr:row>
      <xdr:rowOff>106680</xdr:rowOff>
    </xdr:from>
    <xdr:to>
      <xdr:col>9</xdr:col>
      <xdr:colOff>213360</xdr:colOff>
      <xdr:row>19</xdr:row>
      <xdr:rowOff>83820</xdr:rowOff>
    </xdr:to>
    <xdr:graphicFrame macro="">
      <xdr:nvGraphicFramePr>
        <xdr:cNvPr id="13" name="Chart 12">
          <a:extLst>
            <a:ext uri="{FF2B5EF4-FFF2-40B4-BE49-F238E27FC236}">
              <a16:creationId xmlns:a16="http://schemas.microsoft.com/office/drawing/2014/main" id="{41BBDE61-02FD-4298-AD55-777942629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518160</xdr:colOff>
      <xdr:row>19</xdr:row>
      <xdr:rowOff>160020</xdr:rowOff>
    </xdr:from>
    <xdr:to>
      <xdr:col>9</xdr:col>
      <xdr:colOff>304800</xdr:colOff>
      <xdr:row>29</xdr:row>
      <xdr:rowOff>99060</xdr:rowOff>
    </xdr:to>
    <xdr:graphicFrame macro="">
      <xdr:nvGraphicFramePr>
        <xdr:cNvPr id="14" name="Chart 13">
          <a:extLst>
            <a:ext uri="{FF2B5EF4-FFF2-40B4-BE49-F238E27FC236}">
              <a16:creationId xmlns:a16="http://schemas.microsoft.com/office/drawing/2014/main" id="{2D1A0B09-878E-4A6D-BB01-9C57C92A1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45720</xdr:rowOff>
    </xdr:from>
    <xdr:to>
      <xdr:col>2</xdr:col>
      <xdr:colOff>495300</xdr:colOff>
      <xdr:row>10</xdr:row>
      <xdr:rowOff>152400</xdr:rowOff>
    </xdr:to>
    <mc:AlternateContent xmlns:mc="http://schemas.openxmlformats.org/markup-compatibility/2006" xmlns:a14="http://schemas.microsoft.com/office/drawing/2010/main">
      <mc:Choice Requires="a14">
        <xdr:graphicFrame macro="">
          <xdr:nvGraphicFramePr>
            <xdr:cNvPr id="16" name="School 1">
              <a:extLst>
                <a:ext uri="{FF2B5EF4-FFF2-40B4-BE49-F238E27FC236}">
                  <a16:creationId xmlns:a16="http://schemas.microsoft.com/office/drawing/2014/main" id="{966CEFDF-F2DC-431F-B542-C34FE0F19776}"/>
                </a:ext>
              </a:extLst>
            </xdr:cNvPr>
            <xdr:cNvGraphicFramePr/>
          </xdr:nvGraphicFramePr>
          <xdr:xfrm>
            <a:off x="0" y="0"/>
            <a:ext cx="0" cy="0"/>
          </xdr:xfrm>
          <a:graphic>
            <a:graphicData uri="http://schemas.microsoft.com/office/drawing/2010/slicer">
              <sle:slicer xmlns:sle="http://schemas.microsoft.com/office/drawing/2010/slicer" name="School 1"/>
            </a:graphicData>
          </a:graphic>
        </xdr:graphicFrame>
      </mc:Choice>
      <mc:Fallback xmlns="">
        <xdr:sp macro="" textlink="">
          <xdr:nvSpPr>
            <xdr:cNvPr id="0" name=""/>
            <xdr:cNvSpPr>
              <a:spLocks noTextEdit="1"/>
            </xdr:cNvSpPr>
          </xdr:nvSpPr>
          <xdr:spPr>
            <a:xfrm>
              <a:off x="0" y="777240"/>
              <a:ext cx="1714500" cy="1760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15</xdr:row>
      <xdr:rowOff>144780</xdr:rowOff>
    </xdr:from>
    <xdr:to>
      <xdr:col>2</xdr:col>
      <xdr:colOff>457200</xdr:colOff>
      <xdr:row>22</xdr:row>
      <xdr:rowOff>30480</xdr:rowOff>
    </xdr:to>
    <mc:AlternateContent xmlns:mc="http://schemas.openxmlformats.org/markup-compatibility/2006">
      <mc:Choice xmlns:a14="http://schemas.microsoft.com/office/drawing/2010/main" Requires="a14">
        <xdr:graphicFrame macro="">
          <xdr:nvGraphicFramePr>
            <xdr:cNvPr id="17" name="Teacher 1">
              <a:extLst>
                <a:ext uri="{FF2B5EF4-FFF2-40B4-BE49-F238E27FC236}">
                  <a16:creationId xmlns:a16="http://schemas.microsoft.com/office/drawing/2014/main" id="{F3C89601-1F12-4C24-96CF-EB230E6C0269}"/>
                </a:ext>
              </a:extLst>
            </xdr:cNvPr>
            <xdr:cNvGraphicFramePr/>
          </xdr:nvGraphicFramePr>
          <xdr:xfrm>
            <a:off x="0" y="0"/>
            <a:ext cx="0" cy="0"/>
          </xdr:xfrm>
          <a:graphic>
            <a:graphicData uri="http://schemas.microsoft.com/office/drawing/2010/slicer">
              <sle:slicer xmlns:sle="http://schemas.microsoft.com/office/drawing/2010/slicer" name="Teacher 1"/>
            </a:graphicData>
          </a:graphic>
        </xdr:graphicFrame>
      </mc:Choice>
      <mc:Fallback>
        <xdr:sp macro="" textlink="">
          <xdr:nvSpPr>
            <xdr:cNvPr id="0" name=""/>
            <xdr:cNvSpPr>
              <a:spLocks noTextEdit="1"/>
            </xdr:cNvSpPr>
          </xdr:nvSpPr>
          <xdr:spPr>
            <a:xfrm>
              <a:off x="45720" y="2887980"/>
              <a:ext cx="163068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10</xdr:row>
      <xdr:rowOff>167640</xdr:rowOff>
    </xdr:from>
    <xdr:to>
      <xdr:col>2</xdr:col>
      <xdr:colOff>434340</xdr:colOff>
      <xdr:row>15</xdr:row>
      <xdr:rowOff>144780</xdr:rowOff>
    </xdr:to>
    <mc:AlternateContent xmlns:mc="http://schemas.openxmlformats.org/markup-compatibility/2006">
      <mc:Choice xmlns:a14="http://schemas.microsoft.com/office/drawing/2010/main" Requires="a14">
        <xdr:graphicFrame macro="">
          <xdr:nvGraphicFramePr>
            <xdr:cNvPr id="18" name="Gender 1">
              <a:extLst>
                <a:ext uri="{FF2B5EF4-FFF2-40B4-BE49-F238E27FC236}">
                  <a16:creationId xmlns:a16="http://schemas.microsoft.com/office/drawing/2014/main" id="{65A7F024-185F-474E-ABE1-23BF94C75AC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3340" y="1996440"/>
              <a:ext cx="160020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22</xdr:row>
      <xdr:rowOff>60960</xdr:rowOff>
    </xdr:from>
    <xdr:to>
      <xdr:col>2</xdr:col>
      <xdr:colOff>358140</xdr:colOff>
      <xdr:row>28</xdr:row>
      <xdr:rowOff>152399</xdr:rowOff>
    </xdr:to>
    <mc:AlternateContent xmlns:mc="http://schemas.openxmlformats.org/markup-compatibility/2006">
      <mc:Choice xmlns:a14="http://schemas.microsoft.com/office/drawing/2010/main" Requires="a14">
        <xdr:graphicFrame macro="">
          <xdr:nvGraphicFramePr>
            <xdr:cNvPr id="3" name="Subject 1">
              <a:extLst>
                <a:ext uri="{FF2B5EF4-FFF2-40B4-BE49-F238E27FC236}">
                  <a16:creationId xmlns:a16="http://schemas.microsoft.com/office/drawing/2014/main" id="{0B720A19-5B38-4CF1-A4D7-3D04C6E0329B}"/>
                </a:ext>
              </a:extLst>
            </xdr:cNvPr>
            <xdr:cNvGraphicFramePr/>
          </xdr:nvGraphicFramePr>
          <xdr:xfrm>
            <a:off x="0" y="0"/>
            <a:ext cx="0" cy="0"/>
          </xdr:xfrm>
          <a:graphic>
            <a:graphicData uri="http://schemas.microsoft.com/office/drawing/2010/slicer">
              <sle:slicer xmlns:sle="http://schemas.microsoft.com/office/drawing/2010/slicer" name="Subject 1"/>
            </a:graphicData>
          </a:graphic>
        </xdr:graphicFrame>
      </mc:Choice>
      <mc:Fallback>
        <xdr:sp macro="" textlink="">
          <xdr:nvSpPr>
            <xdr:cNvPr id="0" name=""/>
            <xdr:cNvSpPr>
              <a:spLocks noTextEdit="1"/>
            </xdr:cNvSpPr>
          </xdr:nvSpPr>
          <xdr:spPr>
            <a:xfrm>
              <a:off x="144780" y="4084320"/>
              <a:ext cx="143256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FCS" refreshedDate="46244.774408796293" createdVersion="8" refreshedVersion="8" minRefreshableVersion="3" recordCount="1000" xr:uid="{E9AF5165-0BD1-4391-B49D-0DFDA7621C98}">
  <cacheSource type="worksheet">
    <worksheetSource name="st"/>
  </cacheSource>
  <cacheFields count="11">
    <cacheField name="Student ID" numFmtId="0">
      <sharedItems count="1000">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haredItems>
    </cacheField>
    <cacheField name="Name" numFmtId="0">
      <sharedItems count="996">
        <s v="Karen Alvarado"/>
        <s v="William Miller"/>
        <s v="Jessica Graham"/>
        <s v="Mr. Michael Page DDS"/>
        <s v="Daniel Vasquez"/>
        <s v="Andrew Torres"/>
        <s v="Thomas Robertson"/>
        <s v="James Clark"/>
        <s v="Jennifer Hale"/>
        <s v="Danielle Lee"/>
        <s v="Benjamin Duffy"/>
        <s v="Teresa Patterson"/>
        <s v="Alexandra Hernandez"/>
        <s v="Christopher Smith"/>
        <s v="Victoria George"/>
        <s v="Michelle Johnson"/>
        <s v="Danielle Campos"/>
        <s v="Jean Lewis"/>
        <s v="Jackie Chapman"/>
        <s v="Gabriella Weber"/>
        <s v="Juan Matthews"/>
        <s v="Mary Graves"/>
        <s v="Austin Lloyd"/>
        <s v="Adam Chavez"/>
        <s v="Susan Walker"/>
        <s v="Billy Jackson"/>
        <s v="Amy Austin MD"/>
        <s v="Angela Phillips"/>
        <s v="Melvin Smith"/>
        <s v="Michelle Macias"/>
        <s v="Patrick Richards"/>
        <s v="Dr. Steven Pittman MD"/>
        <s v="Susan Ortiz"/>
        <s v="Kathy Perry"/>
        <s v="Kathryn Spencer"/>
        <s v="Robert Hanson"/>
        <s v="Carlos Jenkins"/>
        <s v="John Burke"/>
        <s v="Gabriel Perez"/>
        <s v="Nicholas Ross"/>
        <s v="Jessica Cannon"/>
        <s v="Zachary Richard"/>
        <s v="Eugene Stevens"/>
        <s v="Victoria Delacruz"/>
        <s v="Lynn Carroll"/>
        <s v="Matthew Morrison"/>
        <s v="Shane Nichols"/>
        <s v="Timothy Kirk"/>
        <s v="Nicholas Rodriguez DDS"/>
        <s v="Jill Hartman"/>
        <s v="Eric Long"/>
        <s v="Diana Harris"/>
        <s v="Brian Hamilton"/>
        <s v="Jennifer Flores"/>
        <s v="Carol Ramirez"/>
        <s v="Mason Lewis"/>
        <s v="Brenda Barnes"/>
        <s v="Elizabeth Ho"/>
        <s v="Kelsey Smith"/>
        <s v="Julie Montgomery"/>
        <s v="Olivia Ballard"/>
        <s v="Ryan Gonzales"/>
        <s v="Molly Joseph"/>
        <s v="Lisa May"/>
        <s v="Robert Garrett"/>
        <s v="Emily Wilson"/>
        <s v="Charles Andrews"/>
        <s v="Stephanie Thomas"/>
        <s v="Edgar Baker"/>
        <s v="Brad Jones"/>
        <s v="Edward Smith"/>
        <s v="Kara Holland"/>
        <s v="Douglas Kane"/>
        <s v="Robin Smith"/>
        <s v="Robert Baker"/>
        <s v="Emma Brown"/>
        <s v="Stacey Tucker"/>
        <s v="Alicia Webb"/>
        <s v="Ashley Landry"/>
        <s v="Amy Everett"/>
        <s v="Jacob Rodriguez"/>
        <s v="Pamela Johnson"/>
        <s v="Jason Cox"/>
        <s v="Caleb Morris"/>
        <s v="Jeremy Peterson"/>
        <s v="Peter Edwards"/>
        <s v="David Oneill"/>
        <s v="Dominique Bruce"/>
        <s v="Linda Douglas"/>
        <s v="Dawn Gomez"/>
        <s v="Sonya Goodwin"/>
        <s v="Andrea Evans"/>
        <s v="Jared Byrd"/>
        <s v="Jessica Taylor"/>
        <s v="John Wolf"/>
        <s v="Dean Munoz"/>
        <s v="Daniel Robinson"/>
        <s v="Andrea Randall"/>
        <s v="Patrick Gutierrez"/>
        <s v="Roy Figueroa"/>
        <s v="Michael Fitzgerald"/>
        <s v="Kayla Phillips"/>
        <s v="Rachel Williams"/>
        <s v="David Perez"/>
        <s v="Joseph Palmer"/>
        <s v="Carrie Snow"/>
        <s v="John Davis"/>
        <s v="Gabriel Molina"/>
        <s v="Michael Jackson"/>
        <s v="Samantha Brooks"/>
        <s v="Dr. Patrick Hoffman"/>
        <s v="Vincent Murray"/>
        <s v="Sally Frank"/>
        <s v="Patrick Campbell"/>
        <s v="Tyler Roman"/>
        <s v="Melissa Diaz"/>
        <s v="Dana Hutchinson"/>
        <s v="Christopher Evans"/>
        <s v="Jordan Dennis"/>
        <s v="Anna Ball"/>
        <s v="Herbert Crane"/>
        <s v="Christopher Liu"/>
        <s v="Michelle Lozano"/>
        <s v="David Wood"/>
        <s v="Natalie Benson"/>
        <s v="Steven White"/>
        <s v="Kevin Mercado"/>
        <s v="Erin Anderson"/>
        <s v="Timothy Santana"/>
        <s v="Kendra Carroll"/>
        <s v="Alexandra Mahoney"/>
        <s v="Stacey Burgess"/>
        <s v="Brittany Potter"/>
        <s v="Jennifer Harris"/>
        <s v="Scott Romero"/>
        <s v="Kathleen Carter"/>
        <s v="James Sweeney"/>
        <s v="Isaiah Wilson"/>
        <s v="Anne Brown"/>
        <s v="Jimmy Lopez"/>
        <s v="Duane Brown"/>
        <s v="Jessica Johnson"/>
        <s v="Kurt Murphy"/>
        <s v="Eric Jackson"/>
        <s v="Joshua Brown"/>
        <s v="Matthew Case"/>
        <s v="Mario Alvarez"/>
        <s v="Kevin Patel"/>
        <s v="Christopher Coffey"/>
        <s v="Robin Dean"/>
        <s v="Christopher Burgess"/>
        <s v="Margaret Arnold"/>
        <s v="Anthony Martin"/>
        <s v="Madeline Sanchez"/>
        <s v="Donald Smith"/>
        <s v="Jordan Carey"/>
        <s v="Francisco Brown"/>
        <s v="Jessica Harris"/>
        <s v="Scott Williamson"/>
        <s v="Danny Espinoza"/>
        <s v="Melissa Herrera"/>
        <s v="Heather Gaines"/>
        <s v="Samuel Coleman"/>
        <s v="Brian Smith"/>
        <s v="Spencer Russo"/>
        <s v="Kayla Arroyo"/>
        <s v="Nancy Rios"/>
        <s v="Zachary Moore"/>
        <s v="Tracy Yoder"/>
        <s v="Peter Horton"/>
        <s v="Bradley Cox"/>
        <s v="Jennifer Cook"/>
        <s v="Thomas Maynard"/>
        <s v="Zachary Calhoun"/>
        <s v="Jeffrey Swanson"/>
        <s v="Anthony Smith"/>
        <s v="Nathan Zimmerman"/>
        <s v="Karen Campbell"/>
        <s v="Jessica Taylor DDS"/>
        <s v="Shane Irwin"/>
        <s v="Jessica Hardy"/>
        <s v="Shawn Freeman"/>
        <s v="Melissa Callahan"/>
        <s v="Kristen Singleton"/>
        <s v="Isabella Mason"/>
        <s v="Leah Lee"/>
        <s v="Angela Alvarez"/>
        <s v="Yvonne Patton"/>
        <s v="Michael Walker"/>
        <s v="Jeremy Henderson"/>
        <s v="Tina Ruiz"/>
        <s v="Kathleen Benjamin"/>
        <s v="Sarah Thompson"/>
        <s v="Gregory Lynch PhD"/>
        <s v="Wendy Bennett"/>
        <s v="Jordan Murphy"/>
        <s v="Derek Barrera"/>
        <s v="Stephanie Sutton"/>
        <s v="Mark Williams"/>
        <s v="Timothy Moss"/>
        <s v="Jacob Fischer"/>
        <s v="Chelsea Martinez"/>
        <s v="Tiffany Ramirez"/>
        <s v="Kevin Trujillo"/>
        <s v="Jamie Berry"/>
        <s v="Jonathan Lynch"/>
        <s v="Rebecca Castillo"/>
        <s v="Timothy Greene"/>
        <s v="Ashley Kidd"/>
        <s v="Sandra Scott"/>
        <s v="Carol Savage"/>
        <s v="Heather Cruz"/>
        <s v="Shannon Jacobs"/>
        <s v="Kara Douglas DDS"/>
        <s v="Robert Parrish"/>
        <s v="Michelle Williams"/>
        <s v="Cole Tran"/>
        <s v="Jennifer Maddox"/>
        <s v="Robert Cobb"/>
        <s v="Casey Lee"/>
        <s v="Chad Diaz"/>
        <s v="James Bryant"/>
        <s v="Erica Ellis"/>
        <s v="Ariana Cruz"/>
        <s v="Alicia Cruz"/>
        <s v="Kristi Clark"/>
        <s v="Christina Wall"/>
        <s v="Michele Bauer"/>
        <s v="Jeremy Travis"/>
        <s v="Jason Archer"/>
        <s v="Heather Vaughan"/>
        <s v="Heather Mccullough"/>
        <s v="Thomas Diaz"/>
        <s v="Sean Campos"/>
        <s v="Mary Bryant"/>
        <s v="Martin Lucas"/>
        <s v="Mercedes Davis"/>
        <s v="Sean Spencer"/>
        <s v="Alan Morrow"/>
        <s v="Stephanie Edwards"/>
        <s v="Elizabeth Taylor"/>
        <s v="Andrew Mendez"/>
        <s v="Walter Mathis"/>
        <s v="Tabitha Travis"/>
        <s v="Carrie Russell"/>
        <s v="Jennifer Newton"/>
        <s v="Megan Todd"/>
        <s v="Lindsay Dawson"/>
        <s v="Luke Delacruz"/>
        <s v="Heather Werner"/>
        <s v="Shannon Davis"/>
        <s v="Pamela Quinn"/>
        <s v="Cynthia Morris"/>
        <s v="Heather Jones"/>
        <s v="Andrea Floyd"/>
        <s v="Allen Alvarado"/>
        <s v="Samantha Gonzalez"/>
        <s v="Daniel Reynolds"/>
        <s v="Jennifer Russell"/>
        <s v="Debra Adams"/>
        <s v="Garrett Anderson"/>
        <s v="Stephen Strickland"/>
        <s v="Gina Cunningham"/>
        <s v="David Meyer"/>
        <s v="Clifford Holland"/>
        <s v="Maria Hernandez"/>
        <s v="Ashley Ramos"/>
        <s v="Crystal Ponce"/>
        <s v="Jason Morgan"/>
        <s v="Bruce Byrd"/>
        <s v="Christina Gibson"/>
        <s v="Lisa Jones"/>
        <s v="Jeffery Dean"/>
        <s v="Candice Mills"/>
        <s v="Christina Rivera"/>
        <s v="Dylan Ruiz"/>
        <s v="Alexandria Harris"/>
        <s v="Trevor Rush"/>
        <s v="Michael Johnston"/>
        <s v="Levi Morris"/>
        <s v="Gregory Medina"/>
        <s v="Anthony Kennedy"/>
        <s v="Terri Floyd"/>
        <s v="Barbara Price"/>
        <s v="Jessica Ray"/>
        <s v="Thomas Walters"/>
        <s v="Caitlin Hill"/>
        <s v="Renee Myers"/>
        <s v="Holly Turner"/>
        <s v="Kathryn Nunez"/>
        <s v="Sandra Henderson"/>
        <s v="Shawn Moreno"/>
        <s v="Brittney Rose"/>
        <s v="Amber Mcfarland"/>
        <s v="Amanda Henderson"/>
        <s v="Michael Hardy"/>
        <s v="Kathleen Edwards"/>
        <s v="Taylor Velasquez"/>
        <s v="Andrew Jennings"/>
        <s v="Lori Hall"/>
        <s v="Michael Bailey"/>
        <s v="Michael Neal"/>
        <s v="James Taylor"/>
        <s v="Dale Craig"/>
        <s v="Eric Sawyer"/>
        <s v="Denise Cole"/>
        <s v="Paige Barrera"/>
        <s v="Rachel Sanchez"/>
        <s v="Craig Schultz"/>
        <s v="Derek Goodwin"/>
        <s v="David Frank"/>
        <s v="Kathryn Evans"/>
        <s v="Jennifer Miller"/>
        <s v="Eric Gibson"/>
        <s v="Courtney Gray"/>
        <s v="Kyle Ryan"/>
        <s v="Matthew Cruz"/>
        <s v="Richard Perez"/>
        <s v="Kevin Keith"/>
        <s v="David Holmes"/>
        <s v="Douglas Hall"/>
        <s v="Darrell Wilson"/>
        <s v="Elizabeth Hill"/>
        <s v="Christopher Jenkins"/>
        <s v="Elizabeth Williams"/>
        <s v="Mr. Andrew Wilson"/>
        <s v="Henry Jimenez"/>
        <s v="Samantha Ryan"/>
        <s v="Shawn Barajas"/>
        <s v="Carmen Coleman"/>
        <s v="Ryan Phillips"/>
        <s v="Emily Chavez"/>
        <s v="Mr. Louis Harrison"/>
        <s v="Angela Sanchez"/>
        <s v="Jacob Henry"/>
        <s v="Christopher Gallagher"/>
        <s v="Eric Roth"/>
        <s v="Brandi Mcclure"/>
        <s v="Chelsea White"/>
        <s v="Mackenzie Baldwin"/>
        <s v="Jessica Dominguez"/>
        <s v="Michael Benton"/>
        <s v="Andrew Hernandez"/>
        <s v="Matthew Griffin"/>
        <s v="Christopher Robinson"/>
        <s v="Kristin Rodgers"/>
        <s v="Pamela Walker"/>
        <s v="Matthew Price"/>
        <s v="Ronald Knight"/>
        <s v="Andrew Martin"/>
        <s v="Brian Scott"/>
        <s v="John Gordon"/>
        <s v="Rachel Ford"/>
        <s v="Christine Reed"/>
        <s v="Ryan Stevenson"/>
        <s v="Paul Guerrero MD"/>
        <s v="Alicia Cummings"/>
        <s v="Grant Parker"/>
        <s v="Mark Knight"/>
        <s v="Natalie Bowman"/>
        <s v="Michelle Watkins"/>
        <s v="Melissa Reed"/>
        <s v="Denise Mckee"/>
        <s v="Jordan Chase"/>
        <s v="Melissa Smith"/>
        <s v="Billy Grant"/>
        <s v="Tyler Sweeney"/>
        <s v="Jeffrey Coleman"/>
        <s v="Aaron Tran"/>
        <s v="Justin Taylor"/>
        <s v="Anne May"/>
        <s v="Russell Reeves"/>
        <s v="Matthew Ortiz"/>
        <s v="Jacqueline Diaz"/>
        <s v="Stephanie Jackson"/>
        <s v="Travis Carter"/>
        <s v="Stephen Caldwell"/>
        <s v="Melissa Gonzalez"/>
        <s v="Kayla Gray"/>
        <s v="James Stewart"/>
        <s v="Peter Sullivan"/>
        <s v="Roy Gonzalez"/>
        <s v="James King"/>
        <s v="Heather Riggs"/>
        <s v="Zachary Pena"/>
        <s v="David Herman"/>
        <s v="Laura Hoffman"/>
        <s v="Paige Parker"/>
        <s v="Mary Doyle"/>
        <s v="Javier Torres"/>
        <s v="Tonya Hill"/>
        <s v="Mrs. Sara King DDS"/>
        <s v="Elizabeth Graham"/>
        <s v="Samantha Miller"/>
        <s v="Nicole Simpson"/>
        <s v="Molly Roberson"/>
        <s v="Raymond Wilson"/>
        <s v="Gregory Bullock"/>
        <s v="Sarah Hall"/>
        <s v="Melissa Johnston"/>
        <s v="Amanda Bradford"/>
        <s v="Miguel Watson PhD"/>
        <s v="John Jacobs"/>
        <s v="Karen Osborn"/>
        <s v="Sarah Cox"/>
        <s v="Gary Valencia"/>
        <s v="Rebecca Stein"/>
        <s v="Dustin Black"/>
        <s v="Casey Liu"/>
        <s v="Kathleen Brown"/>
        <s v="Mark Decker"/>
        <s v="David Woods"/>
        <s v="Linda Whitehead"/>
        <s v="Christopher Sawyer"/>
        <s v="Vickie Ramirez"/>
        <s v="Randall Moon"/>
        <s v="Robert Taylor"/>
        <s v="Bradley Stephens"/>
        <s v="Amanda Mcdonald MD"/>
        <s v="Charles Gonzalez"/>
        <s v="Samantha Kelly"/>
        <s v="Mark Wright"/>
        <s v="Michelle Rhodes"/>
        <s v="Melinda Leblanc"/>
        <s v="Sandra Perez"/>
        <s v="Philip Manning"/>
        <s v="Mark Stevens"/>
        <s v="Amy Ruiz"/>
        <s v="Jennifer Boone"/>
        <s v="Joseph Mitchell"/>
        <s v="Scott Robertson"/>
        <s v="Phyllis Perez"/>
        <s v="Sarah Dickerson"/>
        <s v="Tyler Wolfe"/>
        <s v="Megan Webb"/>
        <s v="Laura Bowen"/>
        <s v="Keith Floyd"/>
        <s v="James Smith"/>
        <s v="Marissa Ray"/>
        <s v="Sandra Gonzalez"/>
        <s v="Jennifer Smith"/>
        <s v="Ms. Wendy Parks"/>
        <s v="Joy Jenkins"/>
        <s v="Misty Clarke"/>
        <s v="Terri Jordan"/>
        <s v="Danielle Kemp"/>
        <s v="Ashley Whitaker"/>
        <s v="Alicia Olson"/>
        <s v="Paul Blackburn"/>
        <s v="Victoria Mejia"/>
        <s v="Hannah Dixon"/>
        <s v="Christopher Clements"/>
        <s v="John Hall"/>
        <s v="Dr. Samuel Le"/>
        <s v="Christopher Williams"/>
        <s v="Chase May"/>
        <s v="Karina Allen"/>
        <s v="Andre Barber"/>
        <s v="Tara Johnson"/>
        <s v="Joseph Hanna"/>
        <s v="Andrew Sanchez"/>
        <s v="Melissa Wall"/>
        <s v="Rachel Rose"/>
        <s v="Lance Dixon"/>
        <s v="Steven Allen"/>
        <s v="Jean Kennedy"/>
        <s v="Erin Church"/>
        <s v="Andrew Thompson"/>
        <s v="Michael Dudley"/>
        <s v="Alicia Lester"/>
        <s v="Bethany Miller"/>
        <s v="Brian Grant"/>
        <s v="Aaron Washington"/>
        <s v="James Barron"/>
        <s v="Lisa Parker"/>
        <s v="Jodi Mccall"/>
        <s v="Jonathan Nguyen"/>
        <s v="Jonathan Johnson"/>
        <s v="Gregory Lee"/>
        <s v="Jasmine Peterson"/>
        <s v="Tanya Flores"/>
        <s v="Kathleen Key"/>
        <s v="Brian Garrett"/>
        <s v="Brandon Barrera"/>
        <s v="Denise Thompson"/>
        <s v="Benjamin Johnson"/>
        <s v="Justin Brennan"/>
        <s v="Monica Parrish"/>
        <s v="Richard Miller"/>
        <s v="Carrie Bates"/>
        <s v="Kimberly Goodwin"/>
        <s v="Bobby Beck"/>
        <s v="Joshua Ruiz"/>
        <s v="Elizabeth Knight"/>
        <s v="Jessica Gutierrez"/>
        <s v="Mark Hurst"/>
        <s v="Erica Davis"/>
        <s v="Nathan Russell"/>
        <s v="Diane Barker"/>
        <s v="April Griffin"/>
        <s v="Alyssa Johnson"/>
        <s v="Michael Rodgers"/>
        <s v="Brian Kim"/>
        <s v="Eric Webb"/>
        <s v="Sarah Miller"/>
        <s v="Rachel Willis"/>
        <s v="Benjamin Randall"/>
        <s v="Jason Richardson"/>
        <s v="Steven Richards"/>
        <s v="Megan Mcintosh"/>
        <s v="Tracy Jackson"/>
        <s v="Alexandria Fritz"/>
        <s v="Andrew Burton"/>
        <s v="Bradley Collins"/>
        <s v="James Ryan"/>
        <s v="James Kennedy"/>
        <s v="Sara Curry"/>
        <s v="Christopher Garrison"/>
        <s v="Savannah Martin"/>
        <s v="Leslie Rice"/>
        <s v="David Taylor"/>
        <s v="Rachel Larsen"/>
        <s v="Brian Robinson"/>
        <s v="Christopher Anderson"/>
        <s v="Justin Peterson"/>
        <s v="David Davis Jr."/>
        <s v="Jessica Gomez"/>
        <s v="Kenneth Nichols"/>
        <s v="Randy Rios"/>
        <s v="Kristine Stewart"/>
        <s v="Robert Williams"/>
        <s v="Sarah Nguyen"/>
        <s v="Jason Hicks"/>
        <s v="Jeff Barrett"/>
        <s v="Felicia Wilson"/>
        <s v="Amanda Carter"/>
        <s v="John Sanchez"/>
        <s v="Frank Braun"/>
        <s v="Corey Guzman"/>
        <s v="Jose Martin"/>
        <s v="John Rivera"/>
        <s v="Tristan Frazier"/>
        <s v="Laura Waller"/>
        <s v="Dawn James"/>
        <s v="William Spence"/>
        <s v="Shelby Boyd"/>
        <s v="Cheryl Reynolds"/>
        <s v="Tammy Williams"/>
        <s v="Thomas Schmidt"/>
        <s v="Brenda Wong"/>
        <s v="Marissa May"/>
        <s v="Joseph Rich"/>
        <s v="Michael Jenkins"/>
        <s v="Joseph Lewis"/>
        <s v="Hannah Larson"/>
        <s v="Alex Skinner"/>
        <s v="Whitney Vincent"/>
        <s v="Alice Myers"/>
        <s v="Melissa Shaffer"/>
        <s v="Danielle Allen"/>
        <s v="Justin Knight"/>
        <s v="Gabriel Hudson"/>
        <s v="Kimberly Vega"/>
        <s v="David Moore"/>
        <s v="Miranda Bennett"/>
        <s v="Jared Martin"/>
        <s v="Roger Cole"/>
        <s v="James Miller"/>
        <s v="Justin Lam"/>
        <s v="Samantha Mcmillan"/>
        <s v="Larry Lynch"/>
        <s v="Mason Smith"/>
        <s v="David Mendoza"/>
        <s v="Bradley Johnson"/>
        <s v="Michele Shaw"/>
        <s v="Shawn Lopez"/>
        <s v="Riley Branch"/>
        <s v="April Fernandez"/>
        <s v="Timothy Johnson"/>
        <s v="Victoria Williams"/>
        <s v="Thomas Peters"/>
        <s v="Phillip Walker"/>
        <s v="Benjamin Gomez"/>
        <s v="Ryan Nelson"/>
        <s v="Melissa English"/>
        <s v="Sara Parker"/>
        <s v="Miguel Harvey"/>
        <s v="Melissa Russo"/>
        <s v="Veronica Thomas"/>
        <s v="Melissa Walker"/>
        <s v="Curtis Beltran"/>
        <s v="Kathryn Erickson"/>
        <s v="Richard Barron"/>
        <s v="Mr. Jonathan Johnson"/>
        <s v="Jessica Norton"/>
        <s v="Timothy Ross"/>
        <s v="Megan Thomas"/>
        <s v="Nathan Pena"/>
        <s v="Katherine Carson"/>
        <s v="Lisa Cummings"/>
        <s v="Todd Hopkins"/>
        <s v="Michael Juarez"/>
        <s v="Robert Huang"/>
        <s v="Olivia Kaufman"/>
        <s v="Katie Kline"/>
        <s v="Tara Murphy"/>
        <s v="Robert Hall"/>
        <s v="Carol Hartman"/>
        <s v="Robert Cook"/>
        <s v="Thomas May"/>
        <s v="Daniel Tran"/>
        <s v="Colin Ramirez"/>
        <s v="Antonio Garcia"/>
        <s v="Kimberly Roberts"/>
        <s v="Joseph Myers"/>
        <s v="Christina Flores"/>
        <s v="Krystal Salinas"/>
        <s v="Mark Mcdaniel"/>
        <s v="Dorothy Garcia"/>
        <s v="Veronica Baldwin"/>
        <s v="Michael Shelton"/>
        <s v="Marilyn Doyle"/>
        <s v="Kayla Thomas"/>
        <s v="Craig Fischer"/>
        <s v="Kent Rosales"/>
        <s v="Antonio Morton"/>
        <s v="James Hahn"/>
        <s v="Chelsea Brown"/>
        <s v="Natasha Farley"/>
        <s v="Amy Martinez"/>
        <s v="Casey Williams"/>
        <s v="Elizabeth King"/>
        <s v="Stacy Newton"/>
        <s v="Robert Clark"/>
        <s v="Michele Martinez"/>
        <s v="Tracey Gould"/>
        <s v="Anthony Wagner DDS"/>
        <s v="Joshua Knox"/>
        <s v="Lisa Arias"/>
        <s v="Nicole Brooks"/>
        <s v="Jeffery Bond"/>
        <s v="Phillip Moore"/>
        <s v="Megan Maynard"/>
        <s v="Joy Moore"/>
        <s v="Julie Owens"/>
        <s v="Kimberly Riley"/>
        <s v="Peter Whitaker"/>
        <s v="Mary Mcmahon"/>
        <s v="Mark Ortiz"/>
        <s v="Daniel Williams"/>
        <s v="Christopher Olson"/>
        <s v="Shawn Mcdowell"/>
        <s v="Peter Byrd"/>
        <s v="Henry Montgomery"/>
        <s v="Steven Walker"/>
        <s v="Rebecca Nielsen"/>
        <s v="Adam Thompson"/>
        <s v="Andrew Vasquez"/>
        <s v="Marie Hernandez"/>
        <s v="John King"/>
        <s v="Tracy Gallegos"/>
        <s v="Brian Ingram"/>
        <s v="Joe Williams"/>
        <s v="John Roman"/>
        <s v="Evelyn Powers"/>
        <s v="Allison Simpson"/>
        <s v="Christopher Marsh"/>
        <s v="Christine Holmes"/>
        <s v="Mrs. Lori Russell"/>
        <s v="Peter Lara"/>
        <s v="Jessica Lucas"/>
        <s v="Diane Woods"/>
        <s v="Amy Shelton"/>
        <s v="Tina Wright"/>
        <s v="Sandra Jones"/>
        <s v="Sydney Cabrera"/>
        <s v="Chelsey Kim"/>
        <s v="Brian Collins"/>
        <s v="Christopher Foster"/>
        <s v="Kimberly Bailey"/>
        <s v="Gary Nicholson"/>
        <s v="Christian Rose"/>
        <s v="Patrick Briggs"/>
        <s v="Tina Duarte"/>
        <s v="Nicole Elliott"/>
        <s v="John Williams"/>
        <s v="Shelby Glass"/>
        <s v="Stephanie Brown"/>
        <s v="Jordan Watkins"/>
        <s v="Heidi Garcia"/>
        <s v="Rodney Howard"/>
        <s v="Andrew Nunez"/>
        <s v="Matthew Wallace"/>
        <s v="Erin Fowler"/>
        <s v="Drew Patterson"/>
        <s v="Lauren Branch"/>
        <s v="Matthew Frank"/>
        <s v="Karen Thomas"/>
        <s v="William Smith"/>
        <s v="Cameron Morrison"/>
        <s v="Michael Chavez"/>
        <s v="Jonathon Jackson"/>
        <s v="Aaron Roberts"/>
        <s v="Julia Murphy"/>
        <s v="Robert Hines"/>
        <s v="Susan Waller"/>
        <s v="Joshua Ross"/>
        <s v="Michael Carrillo"/>
        <s v="John Lewis"/>
        <s v="Emily Martin"/>
        <s v="Jason Rodriguez"/>
        <s v="Ashlee Hill"/>
        <s v="Amy Ortega"/>
        <s v="Brittney Walker"/>
        <s v="Debra Dickerson"/>
        <s v="Theresa Green"/>
        <s v="Kathryn Bryan"/>
        <s v="Brenda Lee"/>
        <s v="Amanda Conner"/>
        <s v="Suzanne Nguyen"/>
        <s v="Ashley Carlson"/>
        <s v="Jason Jones"/>
        <s v="Jennifer Porter"/>
        <s v="Jonathan Hall"/>
        <s v="Paige Mcintosh"/>
        <s v="Henry Diaz"/>
        <s v="Carlos Gallagher"/>
        <s v="Travis Jackson"/>
        <s v="Stephen Flores"/>
        <s v="Julie Douglas"/>
        <s v="Robert Fields"/>
        <s v="Jennifer Austin"/>
        <s v="Francisco Johnson"/>
        <s v="Sandra Hood"/>
        <s v="Benjamin Bush"/>
        <s v="Amanda Obrien"/>
        <s v="Sophia Merritt"/>
        <s v="Tyler Patel"/>
        <s v="Lisa Martinez"/>
        <s v="Jennifer Griffin"/>
        <s v="Rachel Alvarado"/>
        <s v="Chad Jones"/>
        <s v="Michele Johnson"/>
        <s v="Christopher Russell"/>
        <s v="Megan Jacobs"/>
        <s v="Diana Hernandez"/>
        <s v="Carlos Moore"/>
        <s v="Lisa Becker"/>
        <s v="Mariah Flowers"/>
        <s v="George Lewis"/>
        <s v="Loretta White"/>
        <s v="Mary Kelly"/>
        <s v="Anthony Hendricks"/>
        <s v="Bruce Ramos"/>
        <s v="Mary Padilla"/>
        <s v="Jenna Black"/>
        <s v="Danielle Howard"/>
        <s v="Jessica Sims"/>
        <s v="Matthew Willis"/>
        <s v="Jason Jenkins Jr."/>
        <s v="Mark Burns"/>
        <s v="Emily Zavala"/>
        <s v="Angela Curtis"/>
        <s v="Donald Salazar"/>
        <s v="Tony Harris"/>
        <s v="Heidi Barrera"/>
        <s v="Jean Cook"/>
        <s v="Terry Jackson MD"/>
        <s v="Omar Young"/>
        <s v="Allison Garner"/>
        <s v="Danielle Stephens"/>
        <s v="Brett Evans"/>
        <s v="Anna Campbell"/>
        <s v="Anne Fernandez"/>
        <s v="Anna Farley"/>
        <s v="Robert Burnett"/>
        <s v="Alejandro Simpson"/>
        <s v="Kimberly Rogers"/>
        <s v="Tracy Walker"/>
        <s v="Elizabeth Gray"/>
        <s v="Anna Shaw"/>
        <s v="Michael Morris Jr."/>
        <s v="Dominique Diaz"/>
        <s v="Spencer Gilbert"/>
        <s v="Susan Blackwell"/>
        <s v="Mikayla Brown"/>
        <s v="Nancy Harris"/>
        <s v="Lisa Frank"/>
        <s v="Mr. Joshua Thornton DDS"/>
        <s v="Joshua Franco"/>
        <s v="Sara Johnson"/>
        <s v="Kevin Johnson"/>
        <s v="Hunter Sanchez"/>
        <s v="Sylvia Villa"/>
        <s v="Caitlin Mcclure"/>
        <s v="Stacie Mason"/>
        <s v="Tyler Brown"/>
        <s v="Sharon Murphy"/>
        <s v="George Gordon"/>
        <s v="Mark Simon"/>
        <s v="Debbie Anthony"/>
        <s v="Amanda Hernandez"/>
        <s v="Mrs. Ashley Stuart"/>
        <s v="Jordan Dominguez"/>
        <s v="Savannah Castro"/>
        <s v="Kevin Stone"/>
        <s v="Tina Smith DVM"/>
        <s v="Jason Myers Jr."/>
        <s v="Diamond Nguyen"/>
        <s v="Laurie Bishop"/>
        <s v="Scott Foster"/>
        <s v="Dr. Stephanie Nelson"/>
        <s v="Lindsey Howard"/>
        <s v="Jessica Cruz MD"/>
        <s v="Jennifer Davis"/>
        <s v="Philip Fowler"/>
        <s v="Tammie Perez"/>
        <s v="John Fisher"/>
        <s v="Jason Rogers"/>
        <s v="Sean Boyd"/>
        <s v="Robert Johnson"/>
        <s v="Miguel Smith"/>
        <s v="Paul Spencer"/>
        <s v="Kenneth Ware"/>
        <s v="David Collins"/>
        <s v="Angela Hernandez"/>
        <s v="Dustin Ramsey"/>
        <s v="George Mccoy"/>
        <s v="Christy Barrett"/>
        <s v="Renee Smith"/>
        <s v="David Williams"/>
        <s v="Andrew Lambert"/>
        <s v="Christopher Pham"/>
        <s v="Alyssa Franklin"/>
        <s v="Timothy Patterson"/>
        <s v="Justin Simpson"/>
        <s v="Matthew Brown"/>
        <s v="Lori Valdez"/>
        <s v="Dana Taylor"/>
        <s v="Rebecca Sherman"/>
        <s v="Rebecca Carter"/>
        <s v="David Lewis"/>
        <s v="Jill Mclaughlin"/>
        <s v="Natasha Austin"/>
        <s v="Rebecca Johnson"/>
        <s v="William Bailey"/>
        <s v="Mr. Jonathan Stanton"/>
        <s v="Joshua Elliott"/>
        <s v="Peter Vaughn"/>
        <s v="Craig Rodriguez"/>
        <s v="Anthony Pierce"/>
        <s v="Stephen Welch"/>
        <s v="Amy Stewart"/>
        <s v="Francis Bates"/>
        <s v="Margaret Smith"/>
        <s v="William Maxwell"/>
        <s v="Justin Green"/>
        <s v="Laura Welch"/>
        <s v="Anita Walls"/>
        <s v="Shelley Allen"/>
        <s v="Barbara Miller"/>
        <s v="John Smith"/>
        <s v="Tommy Garrett"/>
        <s v="Matthew Saunders"/>
        <s v="Jenna Harvey MD"/>
        <s v="Shelley Garcia"/>
        <s v="Darryl Steele"/>
        <s v="Keith Key"/>
        <s v="Denise Rollins"/>
        <s v="John Cunningham"/>
        <s v="James West"/>
        <s v="William Stevens"/>
        <s v="David Coleman"/>
        <s v="Corey Martin"/>
        <s v="Olivia Wilson"/>
        <s v="Kristine Perez"/>
        <s v="Nicole Bray"/>
        <s v="Michael Bradley"/>
        <s v="Jessica Bray"/>
        <s v="Crystal Edwards"/>
        <s v="Gary George"/>
        <s v="Jeremiah Delacruz"/>
        <s v="Rhonda Carlson"/>
        <s v="Logan Wong"/>
        <s v="Kara Allen"/>
        <s v="Ashley Leonard"/>
        <s v="Ethan Wells"/>
        <s v="Kristy Patterson"/>
        <s v="Sara Garza"/>
        <s v="Trevor Callahan"/>
        <s v="Patricia Jones"/>
        <s v="Raymond Maynard"/>
        <s v="Adam Hester"/>
        <s v="Lisa Johnson"/>
        <s v="Christopher Powers"/>
        <s v="Spencer Davis"/>
        <s v="George Sullivan"/>
        <s v="Phillip Robinson"/>
        <s v="Deborah Frost"/>
        <s v="Keith Joseph"/>
        <s v="Sharon Young"/>
        <s v="Timothy Young"/>
        <s v="Joseph Jones"/>
        <s v="Keith Diaz"/>
        <s v="Frank Graham"/>
        <s v="Thomas Bailey"/>
        <s v="Kevin Nelson"/>
        <s v="Steven Carlson"/>
        <s v="Miss Jill Phillips"/>
        <s v="Jeffrey Mason"/>
        <s v="Brenda Young"/>
        <s v="Deborah Cross"/>
        <s v="Eric Harris"/>
        <s v="Marc Campbell"/>
        <s v="Linda Andrews"/>
        <s v="Matthew Blackburn"/>
        <s v="Tami Ramirez"/>
        <s v="Leslie Moses"/>
        <s v="Christina Horn"/>
        <s v="Maria Green"/>
        <s v="Samantha Perez"/>
        <s v="Jack Torres"/>
        <s v="Shawn Schwartz"/>
        <s v="Phyllis Hopkins"/>
        <s v="Tara Yang"/>
        <s v="Larry Blair"/>
        <s v="Rachel Schultz"/>
        <s v="Andrea Mason"/>
        <s v="Matthew King"/>
        <s v="Dr. Joshua Hood"/>
        <s v="Joshua Quinn"/>
        <s v="Christine Johnston"/>
        <s v="Christopher Padilla"/>
        <s v="William Green"/>
        <s v="Brent Powell"/>
        <s v="Tara Wolfe"/>
        <s v="Michelle Brown"/>
        <s v="Jared Robertson"/>
        <s v="Christina Graham"/>
        <s v="Johnathan Johnson"/>
        <s v="Aaron Wallace"/>
        <s v="Elizabeth Mccoy"/>
        <s v="Dr. Carl Johnson DDS"/>
        <s v="Jennifer Monroe"/>
        <s v="Lauren Jennings"/>
        <s v="Ronald Wright"/>
        <s v="Sue Martinez"/>
        <s v="Patricia Rocha"/>
        <s v="Angela Ruiz"/>
        <s v="Megan Garcia"/>
        <s v="Rachel Martin"/>
        <s v="Theresa Henry"/>
        <s v="William Cook"/>
        <s v="Francis Burgess"/>
        <s v="Michael Klein"/>
        <s v="Mary Boyer"/>
        <s v="Lori Stevens"/>
        <s v="Jason Thomas"/>
        <s v="Dr. Andre Moran"/>
        <s v="Lisa Williams"/>
        <s v="Deborah Mejia"/>
        <s v="Suzanne Lloyd"/>
        <s v="Douglas Barrett"/>
        <s v="Amanda Hamilton"/>
        <s v="Paul Garrison"/>
        <s v="Robert Bates"/>
        <s v="Crystal Davidson"/>
        <s v="Patrick Miranda"/>
        <s v="Megan Silva"/>
        <s v="Abigail Galvan"/>
        <s v="Jill Chapman"/>
        <s v="James Hill"/>
        <s v="Damon Gonzalez"/>
        <s v="Kimberly Lopez DVM"/>
        <s v="James Hoffman"/>
        <s v="Emily Bradley"/>
        <s v="Kathryn Mullins"/>
        <s v="Sandra Craig"/>
        <s v="Sandra Gibson"/>
        <s v="Victoria Burton"/>
        <s v="Gabriel Holland"/>
        <s v="Wyatt Estrada"/>
        <s v="Justin Jackson"/>
        <s v="Ronald Lewis"/>
        <s v="Sean Kelley"/>
        <s v="Anthony Thomas"/>
        <s v="Eileen Duncan"/>
        <s v="Alexis West"/>
        <s v="Cassandra Bryant"/>
        <s v="Michelle Valdez"/>
        <s v="Stephanie Summers"/>
        <s v="Tyler Gross"/>
        <s v="Sandy Dawson"/>
        <s v="Michelle Turner"/>
        <s v="Donna Miller"/>
        <s v="Andrew Brooks"/>
      </sharedItems>
    </cacheField>
    <cacheField name="Gender" numFmtId="0">
      <sharedItems count="2">
        <s v="Female"/>
        <s v="Male"/>
      </sharedItems>
    </cacheField>
    <cacheField name="Age" numFmtId="0">
      <sharedItems containsSemiMixedTypes="0" containsString="0" containsNumber="1" containsInteger="1" minValue="14" maxValue="18" count="5">
        <n v="17"/>
        <n v="18"/>
        <n v="14"/>
        <n v="16"/>
        <n v="15"/>
      </sharedItems>
    </cacheField>
    <cacheField name="School" numFmtId="0">
      <sharedItems count="5">
        <s v="Bronx High School of Science"/>
        <s v="Stuyvesant High School"/>
        <s v="Townsend Harris High School"/>
        <s v="LaGuardia High School"/>
        <s v="Brooklyn Technical High School"/>
      </sharedItems>
    </cacheField>
    <cacheField name="Class" numFmtId="0">
      <sharedItems count="4">
        <s v="Grade 12"/>
        <s v="Grade 9"/>
        <s v="Grade 11"/>
        <s v="Grade 10"/>
      </sharedItems>
    </cacheField>
    <cacheField name="Subject" numFmtId="0">
      <sharedItems count="5">
        <s v="Science"/>
        <s v="English"/>
        <s v="Math"/>
        <s v="History"/>
        <s v="Art"/>
      </sharedItems>
    </cacheField>
    <cacheField name="Exam Type" numFmtId="0">
      <sharedItems count="2">
        <s v="Final"/>
        <s v="Midterm"/>
      </sharedItems>
    </cacheField>
    <cacheField name="Score" numFmtId="0">
      <sharedItems containsSemiMixedTypes="0" containsString="0" containsNumber="1" containsInteger="1" minValue="0" maxValue="100" count="101">
        <n v="94"/>
        <n v="32"/>
        <n v="30"/>
        <n v="24"/>
        <n v="72"/>
        <n v="11"/>
        <n v="90"/>
        <n v="36"/>
        <n v="63"/>
        <n v="20"/>
        <n v="84"/>
        <n v="40"/>
        <n v="53"/>
        <n v="96"/>
        <n v="37"/>
        <n v="9"/>
        <n v="4"/>
        <n v="52"/>
        <n v="74"/>
        <n v="80"/>
        <n v="93"/>
        <n v="70"/>
        <n v="7"/>
        <n v="57"/>
        <n v="81"/>
        <n v="34"/>
        <n v="42"/>
        <n v="77"/>
        <n v="21"/>
        <n v="85"/>
        <n v="22"/>
        <n v="6"/>
        <n v="41"/>
        <n v="8"/>
        <n v="55"/>
        <n v="73"/>
        <n v="58"/>
        <n v="49"/>
        <n v="78"/>
        <n v="67"/>
        <n v="35"/>
        <n v="44"/>
        <n v="27"/>
        <n v="69"/>
        <n v="99"/>
        <n v="76"/>
        <n v="97"/>
        <n v="39"/>
        <n v="0"/>
        <n v="15"/>
        <n v="18"/>
        <n v="17"/>
        <n v="28"/>
        <n v="86"/>
        <n v="83"/>
        <n v="68"/>
        <n v="51"/>
        <n v="66"/>
        <n v="46"/>
        <n v="95"/>
        <n v="10"/>
        <n v="65"/>
        <n v="43"/>
        <n v="79"/>
        <n v="89"/>
        <n v="47"/>
        <n v="92"/>
        <n v="75"/>
        <n v="98"/>
        <n v="62"/>
        <n v="91"/>
        <n v="45"/>
        <n v="50"/>
        <n v="54"/>
        <n v="61"/>
        <n v="82"/>
        <n v="100"/>
        <n v="14"/>
        <n v="1"/>
        <n v="19"/>
        <n v="25"/>
        <n v="13"/>
        <n v="33"/>
        <n v="3"/>
        <n v="60"/>
        <n v="2"/>
        <n v="48"/>
        <n v="64"/>
        <n v="56"/>
        <n v="23"/>
        <n v="26"/>
        <n v="87"/>
        <n v="5"/>
        <n v="12"/>
        <n v="29"/>
        <n v="38"/>
        <n v="59"/>
        <n v="88"/>
        <n v="16"/>
        <n v="31"/>
        <n v="71"/>
      </sharedItems>
      <fieldGroup base="8">
        <rangePr startNum="0" endNum="100" groupInterval="10"/>
        <groupItems count="12">
          <s v="&lt;0"/>
          <s v="0-9"/>
          <s v="10-19"/>
          <s v="20-29"/>
          <s v="30-39"/>
          <s v="40-49"/>
          <s v="50-59"/>
          <s v="60-69"/>
          <s v="70-79"/>
          <s v="80-89"/>
          <s v="90-100"/>
          <s v="&gt;100"/>
        </groupItems>
      </fieldGroup>
    </cacheField>
    <cacheField name="Teacher" numFmtId="0">
      <sharedItems count="10">
        <s v="Kevin Carson"/>
        <s v="Kathryn Paul"/>
        <s v="Juan Reynolds"/>
        <s v="Scott Rodgers DDS"/>
        <s v="Jeffrey Miller"/>
        <s v="Deborah Clark"/>
        <s v="Curtis Norman"/>
        <s v="Nicole Hoffman"/>
        <s v="Erik Grant"/>
        <s v="Michael Gay"/>
      </sharedItems>
    </cacheField>
    <cacheField name="Pass" numFmtId="0">
      <sharedItems count="2">
        <s v="Yes"/>
        <s v="No"/>
      </sharedItems>
    </cacheField>
  </cacheFields>
  <extLst>
    <ext xmlns:x14="http://schemas.microsoft.com/office/spreadsheetml/2009/9/main" uri="{725AE2AE-9491-48be-B2B4-4EB974FC3084}">
      <x14:pivotCacheDefinition pivotCacheId="1842943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r>
  <r>
    <x v="1"/>
    <x v="1"/>
    <x v="1"/>
    <x v="1"/>
    <x v="1"/>
    <x v="0"/>
    <x v="0"/>
    <x v="0"/>
    <x v="1"/>
    <x v="0"/>
    <x v="1"/>
  </r>
  <r>
    <x v="2"/>
    <x v="2"/>
    <x v="1"/>
    <x v="2"/>
    <x v="2"/>
    <x v="1"/>
    <x v="1"/>
    <x v="1"/>
    <x v="2"/>
    <x v="1"/>
    <x v="1"/>
  </r>
  <r>
    <x v="3"/>
    <x v="3"/>
    <x v="1"/>
    <x v="3"/>
    <x v="2"/>
    <x v="1"/>
    <x v="2"/>
    <x v="0"/>
    <x v="3"/>
    <x v="2"/>
    <x v="1"/>
  </r>
  <r>
    <x v="4"/>
    <x v="4"/>
    <x v="0"/>
    <x v="4"/>
    <x v="0"/>
    <x v="2"/>
    <x v="1"/>
    <x v="0"/>
    <x v="4"/>
    <x v="3"/>
    <x v="0"/>
  </r>
  <r>
    <x v="5"/>
    <x v="5"/>
    <x v="1"/>
    <x v="1"/>
    <x v="3"/>
    <x v="2"/>
    <x v="2"/>
    <x v="1"/>
    <x v="5"/>
    <x v="1"/>
    <x v="1"/>
  </r>
  <r>
    <x v="6"/>
    <x v="6"/>
    <x v="0"/>
    <x v="2"/>
    <x v="1"/>
    <x v="2"/>
    <x v="2"/>
    <x v="0"/>
    <x v="6"/>
    <x v="4"/>
    <x v="0"/>
  </r>
  <r>
    <x v="7"/>
    <x v="7"/>
    <x v="0"/>
    <x v="2"/>
    <x v="2"/>
    <x v="0"/>
    <x v="0"/>
    <x v="1"/>
    <x v="7"/>
    <x v="2"/>
    <x v="1"/>
  </r>
  <r>
    <x v="8"/>
    <x v="8"/>
    <x v="0"/>
    <x v="3"/>
    <x v="3"/>
    <x v="2"/>
    <x v="3"/>
    <x v="0"/>
    <x v="3"/>
    <x v="5"/>
    <x v="1"/>
  </r>
  <r>
    <x v="9"/>
    <x v="9"/>
    <x v="0"/>
    <x v="2"/>
    <x v="4"/>
    <x v="0"/>
    <x v="1"/>
    <x v="0"/>
    <x v="8"/>
    <x v="2"/>
    <x v="0"/>
  </r>
  <r>
    <x v="10"/>
    <x v="10"/>
    <x v="0"/>
    <x v="4"/>
    <x v="0"/>
    <x v="3"/>
    <x v="0"/>
    <x v="1"/>
    <x v="9"/>
    <x v="2"/>
    <x v="1"/>
  </r>
  <r>
    <x v="11"/>
    <x v="11"/>
    <x v="0"/>
    <x v="3"/>
    <x v="3"/>
    <x v="2"/>
    <x v="3"/>
    <x v="0"/>
    <x v="10"/>
    <x v="1"/>
    <x v="0"/>
  </r>
  <r>
    <x v="12"/>
    <x v="12"/>
    <x v="0"/>
    <x v="0"/>
    <x v="4"/>
    <x v="0"/>
    <x v="4"/>
    <x v="1"/>
    <x v="8"/>
    <x v="6"/>
    <x v="0"/>
  </r>
  <r>
    <x v="13"/>
    <x v="13"/>
    <x v="1"/>
    <x v="0"/>
    <x v="1"/>
    <x v="3"/>
    <x v="1"/>
    <x v="1"/>
    <x v="6"/>
    <x v="5"/>
    <x v="0"/>
  </r>
  <r>
    <x v="14"/>
    <x v="14"/>
    <x v="0"/>
    <x v="0"/>
    <x v="2"/>
    <x v="3"/>
    <x v="1"/>
    <x v="0"/>
    <x v="11"/>
    <x v="7"/>
    <x v="1"/>
  </r>
  <r>
    <x v="15"/>
    <x v="15"/>
    <x v="0"/>
    <x v="3"/>
    <x v="4"/>
    <x v="1"/>
    <x v="2"/>
    <x v="0"/>
    <x v="12"/>
    <x v="6"/>
    <x v="0"/>
  </r>
  <r>
    <x v="16"/>
    <x v="16"/>
    <x v="1"/>
    <x v="3"/>
    <x v="4"/>
    <x v="3"/>
    <x v="4"/>
    <x v="0"/>
    <x v="13"/>
    <x v="1"/>
    <x v="0"/>
  </r>
  <r>
    <x v="17"/>
    <x v="17"/>
    <x v="0"/>
    <x v="1"/>
    <x v="4"/>
    <x v="3"/>
    <x v="2"/>
    <x v="1"/>
    <x v="14"/>
    <x v="2"/>
    <x v="1"/>
  </r>
  <r>
    <x v="18"/>
    <x v="18"/>
    <x v="1"/>
    <x v="1"/>
    <x v="1"/>
    <x v="0"/>
    <x v="4"/>
    <x v="1"/>
    <x v="15"/>
    <x v="8"/>
    <x v="1"/>
  </r>
  <r>
    <x v="19"/>
    <x v="19"/>
    <x v="0"/>
    <x v="1"/>
    <x v="3"/>
    <x v="2"/>
    <x v="4"/>
    <x v="1"/>
    <x v="16"/>
    <x v="5"/>
    <x v="1"/>
  </r>
  <r>
    <x v="20"/>
    <x v="20"/>
    <x v="1"/>
    <x v="4"/>
    <x v="0"/>
    <x v="0"/>
    <x v="2"/>
    <x v="0"/>
    <x v="17"/>
    <x v="0"/>
    <x v="0"/>
  </r>
  <r>
    <x v="21"/>
    <x v="21"/>
    <x v="1"/>
    <x v="4"/>
    <x v="0"/>
    <x v="1"/>
    <x v="3"/>
    <x v="1"/>
    <x v="18"/>
    <x v="5"/>
    <x v="0"/>
  </r>
  <r>
    <x v="22"/>
    <x v="22"/>
    <x v="0"/>
    <x v="0"/>
    <x v="4"/>
    <x v="1"/>
    <x v="4"/>
    <x v="0"/>
    <x v="7"/>
    <x v="0"/>
    <x v="1"/>
  </r>
  <r>
    <x v="23"/>
    <x v="23"/>
    <x v="0"/>
    <x v="0"/>
    <x v="2"/>
    <x v="3"/>
    <x v="4"/>
    <x v="1"/>
    <x v="19"/>
    <x v="9"/>
    <x v="0"/>
  </r>
  <r>
    <x v="24"/>
    <x v="24"/>
    <x v="1"/>
    <x v="2"/>
    <x v="3"/>
    <x v="3"/>
    <x v="0"/>
    <x v="1"/>
    <x v="20"/>
    <x v="0"/>
    <x v="0"/>
  </r>
  <r>
    <x v="25"/>
    <x v="25"/>
    <x v="1"/>
    <x v="3"/>
    <x v="4"/>
    <x v="1"/>
    <x v="3"/>
    <x v="0"/>
    <x v="21"/>
    <x v="3"/>
    <x v="0"/>
  </r>
  <r>
    <x v="26"/>
    <x v="26"/>
    <x v="0"/>
    <x v="0"/>
    <x v="0"/>
    <x v="1"/>
    <x v="0"/>
    <x v="0"/>
    <x v="22"/>
    <x v="6"/>
    <x v="1"/>
  </r>
  <r>
    <x v="27"/>
    <x v="27"/>
    <x v="1"/>
    <x v="3"/>
    <x v="0"/>
    <x v="3"/>
    <x v="2"/>
    <x v="1"/>
    <x v="23"/>
    <x v="8"/>
    <x v="0"/>
  </r>
  <r>
    <x v="28"/>
    <x v="28"/>
    <x v="1"/>
    <x v="4"/>
    <x v="4"/>
    <x v="3"/>
    <x v="2"/>
    <x v="1"/>
    <x v="4"/>
    <x v="9"/>
    <x v="0"/>
  </r>
  <r>
    <x v="29"/>
    <x v="29"/>
    <x v="0"/>
    <x v="3"/>
    <x v="2"/>
    <x v="3"/>
    <x v="2"/>
    <x v="1"/>
    <x v="24"/>
    <x v="2"/>
    <x v="0"/>
  </r>
  <r>
    <x v="30"/>
    <x v="30"/>
    <x v="1"/>
    <x v="3"/>
    <x v="2"/>
    <x v="3"/>
    <x v="2"/>
    <x v="0"/>
    <x v="25"/>
    <x v="7"/>
    <x v="1"/>
  </r>
  <r>
    <x v="31"/>
    <x v="31"/>
    <x v="1"/>
    <x v="1"/>
    <x v="2"/>
    <x v="3"/>
    <x v="1"/>
    <x v="1"/>
    <x v="26"/>
    <x v="9"/>
    <x v="1"/>
  </r>
  <r>
    <x v="32"/>
    <x v="32"/>
    <x v="1"/>
    <x v="3"/>
    <x v="2"/>
    <x v="1"/>
    <x v="1"/>
    <x v="1"/>
    <x v="27"/>
    <x v="6"/>
    <x v="0"/>
  </r>
  <r>
    <x v="33"/>
    <x v="33"/>
    <x v="1"/>
    <x v="2"/>
    <x v="3"/>
    <x v="2"/>
    <x v="2"/>
    <x v="0"/>
    <x v="28"/>
    <x v="8"/>
    <x v="1"/>
  </r>
  <r>
    <x v="34"/>
    <x v="34"/>
    <x v="1"/>
    <x v="1"/>
    <x v="4"/>
    <x v="2"/>
    <x v="3"/>
    <x v="1"/>
    <x v="29"/>
    <x v="3"/>
    <x v="0"/>
  </r>
  <r>
    <x v="35"/>
    <x v="35"/>
    <x v="1"/>
    <x v="4"/>
    <x v="3"/>
    <x v="1"/>
    <x v="3"/>
    <x v="0"/>
    <x v="30"/>
    <x v="2"/>
    <x v="1"/>
  </r>
  <r>
    <x v="36"/>
    <x v="36"/>
    <x v="0"/>
    <x v="4"/>
    <x v="1"/>
    <x v="3"/>
    <x v="0"/>
    <x v="0"/>
    <x v="31"/>
    <x v="9"/>
    <x v="1"/>
  </r>
  <r>
    <x v="37"/>
    <x v="37"/>
    <x v="1"/>
    <x v="3"/>
    <x v="1"/>
    <x v="1"/>
    <x v="2"/>
    <x v="1"/>
    <x v="23"/>
    <x v="6"/>
    <x v="0"/>
  </r>
  <r>
    <x v="38"/>
    <x v="38"/>
    <x v="1"/>
    <x v="1"/>
    <x v="0"/>
    <x v="3"/>
    <x v="2"/>
    <x v="1"/>
    <x v="27"/>
    <x v="4"/>
    <x v="0"/>
  </r>
  <r>
    <x v="39"/>
    <x v="39"/>
    <x v="1"/>
    <x v="0"/>
    <x v="0"/>
    <x v="2"/>
    <x v="4"/>
    <x v="1"/>
    <x v="32"/>
    <x v="6"/>
    <x v="1"/>
  </r>
  <r>
    <x v="40"/>
    <x v="40"/>
    <x v="1"/>
    <x v="1"/>
    <x v="3"/>
    <x v="1"/>
    <x v="4"/>
    <x v="1"/>
    <x v="33"/>
    <x v="9"/>
    <x v="1"/>
  </r>
  <r>
    <x v="41"/>
    <x v="41"/>
    <x v="1"/>
    <x v="3"/>
    <x v="4"/>
    <x v="3"/>
    <x v="2"/>
    <x v="1"/>
    <x v="30"/>
    <x v="5"/>
    <x v="1"/>
  </r>
  <r>
    <x v="42"/>
    <x v="42"/>
    <x v="1"/>
    <x v="0"/>
    <x v="1"/>
    <x v="1"/>
    <x v="2"/>
    <x v="0"/>
    <x v="14"/>
    <x v="6"/>
    <x v="1"/>
  </r>
  <r>
    <x v="43"/>
    <x v="43"/>
    <x v="0"/>
    <x v="4"/>
    <x v="3"/>
    <x v="1"/>
    <x v="3"/>
    <x v="0"/>
    <x v="34"/>
    <x v="2"/>
    <x v="0"/>
  </r>
  <r>
    <x v="44"/>
    <x v="44"/>
    <x v="1"/>
    <x v="0"/>
    <x v="0"/>
    <x v="1"/>
    <x v="4"/>
    <x v="1"/>
    <x v="35"/>
    <x v="8"/>
    <x v="0"/>
  </r>
  <r>
    <x v="45"/>
    <x v="45"/>
    <x v="0"/>
    <x v="1"/>
    <x v="2"/>
    <x v="0"/>
    <x v="4"/>
    <x v="0"/>
    <x v="36"/>
    <x v="8"/>
    <x v="0"/>
  </r>
  <r>
    <x v="46"/>
    <x v="46"/>
    <x v="1"/>
    <x v="1"/>
    <x v="2"/>
    <x v="0"/>
    <x v="1"/>
    <x v="0"/>
    <x v="37"/>
    <x v="2"/>
    <x v="1"/>
  </r>
  <r>
    <x v="47"/>
    <x v="47"/>
    <x v="1"/>
    <x v="0"/>
    <x v="1"/>
    <x v="3"/>
    <x v="0"/>
    <x v="1"/>
    <x v="38"/>
    <x v="5"/>
    <x v="0"/>
  </r>
  <r>
    <x v="48"/>
    <x v="48"/>
    <x v="1"/>
    <x v="3"/>
    <x v="4"/>
    <x v="3"/>
    <x v="2"/>
    <x v="0"/>
    <x v="39"/>
    <x v="1"/>
    <x v="0"/>
  </r>
  <r>
    <x v="49"/>
    <x v="49"/>
    <x v="0"/>
    <x v="4"/>
    <x v="3"/>
    <x v="2"/>
    <x v="3"/>
    <x v="0"/>
    <x v="40"/>
    <x v="5"/>
    <x v="1"/>
  </r>
  <r>
    <x v="50"/>
    <x v="50"/>
    <x v="1"/>
    <x v="4"/>
    <x v="3"/>
    <x v="3"/>
    <x v="2"/>
    <x v="0"/>
    <x v="41"/>
    <x v="2"/>
    <x v="1"/>
  </r>
  <r>
    <x v="51"/>
    <x v="51"/>
    <x v="0"/>
    <x v="1"/>
    <x v="2"/>
    <x v="2"/>
    <x v="3"/>
    <x v="1"/>
    <x v="42"/>
    <x v="9"/>
    <x v="1"/>
  </r>
  <r>
    <x v="52"/>
    <x v="52"/>
    <x v="1"/>
    <x v="4"/>
    <x v="0"/>
    <x v="3"/>
    <x v="0"/>
    <x v="1"/>
    <x v="43"/>
    <x v="9"/>
    <x v="0"/>
  </r>
  <r>
    <x v="53"/>
    <x v="53"/>
    <x v="1"/>
    <x v="4"/>
    <x v="0"/>
    <x v="1"/>
    <x v="4"/>
    <x v="1"/>
    <x v="44"/>
    <x v="5"/>
    <x v="0"/>
  </r>
  <r>
    <x v="54"/>
    <x v="54"/>
    <x v="0"/>
    <x v="0"/>
    <x v="0"/>
    <x v="2"/>
    <x v="0"/>
    <x v="1"/>
    <x v="40"/>
    <x v="2"/>
    <x v="1"/>
  </r>
  <r>
    <x v="55"/>
    <x v="55"/>
    <x v="0"/>
    <x v="0"/>
    <x v="2"/>
    <x v="1"/>
    <x v="4"/>
    <x v="1"/>
    <x v="45"/>
    <x v="8"/>
    <x v="0"/>
  </r>
  <r>
    <x v="56"/>
    <x v="56"/>
    <x v="0"/>
    <x v="1"/>
    <x v="1"/>
    <x v="2"/>
    <x v="2"/>
    <x v="1"/>
    <x v="16"/>
    <x v="0"/>
    <x v="1"/>
  </r>
  <r>
    <x v="57"/>
    <x v="57"/>
    <x v="1"/>
    <x v="4"/>
    <x v="2"/>
    <x v="2"/>
    <x v="1"/>
    <x v="0"/>
    <x v="12"/>
    <x v="8"/>
    <x v="0"/>
  </r>
  <r>
    <x v="58"/>
    <x v="58"/>
    <x v="0"/>
    <x v="1"/>
    <x v="3"/>
    <x v="0"/>
    <x v="4"/>
    <x v="1"/>
    <x v="46"/>
    <x v="8"/>
    <x v="0"/>
  </r>
  <r>
    <x v="59"/>
    <x v="59"/>
    <x v="1"/>
    <x v="1"/>
    <x v="1"/>
    <x v="3"/>
    <x v="2"/>
    <x v="0"/>
    <x v="47"/>
    <x v="8"/>
    <x v="1"/>
  </r>
  <r>
    <x v="60"/>
    <x v="60"/>
    <x v="0"/>
    <x v="1"/>
    <x v="4"/>
    <x v="2"/>
    <x v="0"/>
    <x v="0"/>
    <x v="4"/>
    <x v="8"/>
    <x v="0"/>
  </r>
  <r>
    <x v="61"/>
    <x v="61"/>
    <x v="1"/>
    <x v="1"/>
    <x v="1"/>
    <x v="2"/>
    <x v="2"/>
    <x v="0"/>
    <x v="48"/>
    <x v="6"/>
    <x v="1"/>
  </r>
  <r>
    <x v="62"/>
    <x v="62"/>
    <x v="1"/>
    <x v="3"/>
    <x v="2"/>
    <x v="0"/>
    <x v="1"/>
    <x v="0"/>
    <x v="49"/>
    <x v="4"/>
    <x v="1"/>
  </r>
  <r>
    <x v="63"/>
    <x v="63"/>
    <x v="0"/>
    <x v="1"/>
    <x v="4"/>
    <x v="1"/>
    <x v="2"/>
    <x v="0"/>
    <x v="14"/>
    <x v="0"/>
    <x v="1"/>
  </r>
  <r>
    <x v="64"/>
    <x v="64"/>
    <x v="0"/>
    <x v="3"/>
    <x v="4"/>
    <x v="2"/>
    <x v="4"/>
    <x v="0"/>
    <x v="14"/>
    <x v="0"/>
    <x v="1"/>
  </r>
  <r>
    <x v="65"/>
    <x v="65"/>
    <x v="0"/>
    <x v="1"/>
    <x v="4"/>
    <x v="3"/>
    <x v="2"/>
    <x v="0"/>
    <x v="50"/>
    <x v="9"/>
    <x v="1"/>
  </r>
  <r>
    <x v="66"/>
    <x v="66"/>
    <x v="0"/>
    <x v="3"/>
    <x v="0"/>
    <x v="3"/>
    <x v="4"/>
    <x v="0"/>
    <x v="7"/>
    <x v="3"/>
    <x v="1"/>
  </r>
  <r>
    <x v="67"/>
    <x v="67"/>
    <x v="1"/>
    <x v="0"/>
    <x v="0"/>
    <x v="3"/>
    <x v="1"/>
    <x v="0"/>
    <x v="51"/>
    <x v="4"/>
    <x v="1"/>
  </r>
  <r>
    <x v="68"/>
    <x v="68"/>
    <x v="1"/>
    <x v="3"/>
    <x v="4"/>
    <x v="0"/>
    <x v="4"/>
    <x v="0"/>
    <x v="52"/>
    <x v="5"/>
    <x v="1"/>
  </r>
  <r>
    <x v="69"/>
    <x v="69"/>
    <x v="0"/>
    <x v="0"/>
    <x v="1"/>
    <x v="0"/>
    <x v="1"/>
    <x v="1"/>
    <x v="35"/>
    <x v="8"/>
    <x v="0"/>
  </r>
  <r>
    <x v="70"/>
    <x v="70"/>
    <x v="0"/>
    <x v="0"/>
    <x v="2"/>
    <x v="1"/>
    <x v="4"/>
    <x v="1"/>
    <x v="53"/>
    <x v="0"/>
    <x v="0"/>
  </r>
  <r>
    <x v="71"/>
    <x v="71"/>
    <x v="0"/>
    <x v="4"/>
    <x v="0"/>
    <x v="0"/>
    <x v="0"/>
    <x v="1"/>
    <x v="54"/>
    <x v="2"/>
    <x v="0"/>
  </r>
  <r>
    <x v="72"/>
    <x v="72"/>
    <x v="1"/>
    <x v="4"/>
    <x v="0"/>
    <x v="1"/>
    <x v="3"/>
    <x v="1"/>
    <x v="15"/>
    <x v="2"/>
    <x v="1"/>
  </r>
  <r>
    <x v="73"/>
    <x v="73"/>
    <x v="0"/>
    <x v="1"/>
    <x v="2"/>
    <x v="3"/>
    <x v="2"/>
    <x v="0"/>
    <x v="37"/>
    <x v="2"/>
    <x v="1"/>
  </r>
  <r>
    <x v="74"/>
    <x v="74"/>
    <x v="0"/>
    <x v="1"/>
    <x v="3"/>
    <x v="2"/>
    <x v="1"/>
    <x v="0"/>
    <x v="19"/>
    <x v="5"/>
    <x v="0"/>
  </r>
  <r>
    <x v="75"/>
    <x v="75"/>
    <x v="0"/>
    <x v="3"/>
    <x v="4"/>
    <x v="1"/>
    <x v="1"/>
    <x v="0"/>
    <x v="4"/>
    <x v="0"/>
    <x v="0"/>
  </r>
  <r>
    <x v="76"/>
    <x v="76"/>
    <x v="0"/>
    <x v="2"/>
    <x v="2"/>
    <x v="2"/>
    <x v="1"/>
    <x v="1"/>
    <x v="55"/>
    <x v="4"/>
    <x v="0"/>
  </r>
  <r>
    <x v="77"/>
    <x v="77"/>
    <x v="0"/>
    <x v="4"/>
    <x v="1"/>
    <x v="0"/>
    <x v="2"/>
    <x v="1"/>
    <x v="56"/>
    <x v="6"/>
    <x v="0"/>
  </r>
  <r>
    <x v="78"/>
    <x v="78"/>
    <x v="0"/>
    <x v="2"/>
    <x v="0"/>
    <x v="1"/>
    <x v="4"/>
    <x v="0"/>
    <x v="57"/>
    <x v="9"/>
    <x v="0"/>
  </r>
  <r>
    <x v="79"/>
    <x v="79"/>
    <x v="0"/>
    <x v="4"/>
    <x v="4"/>
    <x v="1"/>
    <x v="3"/>
    <x v="0"/>
    <x v="13"/>
    <x v="4"/>
    <x v="0"/>
  </r>
  <r>
    <x v="80"/>
    <x v="80"/>
    <x v="0"/>
    <x v="0"/>
    <x v="1"/>
    <x v="1"/>
    <x v="4"/>
    <x v="1"/>
    <x v="58"/>
    <x v="4"/>
    <x v="1"/>
  </r>
  <r>
    <x v="81"/>
    <x v="81"/>
    <x v="0"/>
    <x v="3"/>
    <x v="0"/>
    <x v="2"/>
    <x v="3"/>
    <x v="0"/>
    <x v="59"/>
    <x v="4"/>
    <x v="0"/>
  </r>
  <r>
    <x v="82"/>
    <x v="82"/>
    <x v="1"/>
    <x v="4"/>
    <x v="4"/>
    <x v="0"/>
    <x v="0"/>
    <x v="0"/>
    <x v="16"/>
    <x v="2"/>
    <x v="1"/>
  </r>
  <r>
    <x v="83"/>
    <x v="83"/>
    <x v="0"/>
    <x v="1"/>
    <x v="0"/>
    <x v="0"/>
    <x v="1"/>
    <x v="1"/>
    <x v="60"/>
    <x v="5"/>
    <x v="1"/>
  </r>
  <r>
    <x v="84"/>
    <x v="84"/>
    <x v="1"/>
    <x v="0"/>
    <x v="4"/>
    <x v="1"/>
    <x v="3"/>
    <x v="1"/>
    <x v="40"/>
    <x v="7"/>
    <x v="1"/>
  </r>
  <r>
    <x v="85"/>
    <x v="85"/>
    <x v="1"/>
    <x v="4"/>
    <x v="2"/>
    <x v="2"/>
    <x v="4"/>
    <x v="1"/>
    <x v="45"/>
    <x v="0"/>
    <x v="0"/>
  </r>
  <r>
    <x v="86"/>
    <x v="86"/>
    <x v="1"/>
    <x v="1"/>
    <x v="3"/>
    <x v="3"/>
    <x v="0"/>
    <x v="1"/>
    <x v="10"/>
    <x v="2"/>
    <x v="0"/>
  </r>
  <r>
    <x v="87"/>
    <x v="87"/>
    <x v="0"/>
    <x v="3"/>
    <x v="0"/>
    <x v="3"/>
    <x v="4"/>
    <x v="1"/>
    <x v="7"/>
    <x v="1"/>
    <x v="1"/>
  </r>
  <r>
    <x v="88"/>
    <x v="88"/>
    <x v="0"/>
    <x v="1"/>
    <x v="3"/>
    <x v="0"/>
    <x v="4"/>
    <x v="0"/>
    <x v="61"/>
    <x v="1"/>
    <x v="0"/>
  </r>
  <r>
    <x v="89"/>
    <x v="89"/>
    <x v="0"/>
    <x v="3"/>
    <x v="4"/>
    <x v="3"/>
    <x v="3"/>
    <x v="0"/>
    <x v="62"/>
    <x v="2"/>
    <x v="1"/>
  </r>
  <r>
    <x v="90"/>
    <x v="90"/>
    <x v="0"/>
    <x v="3"/>
    <x v="3"/>
    <x v="0"/>
    <x v="2"/>
    <x v="0"/>
    <x v="63"/>
    <x v="0"/>
    <x v="0"/>
  </r>
  <r>
    <x v="91"/>
    <x v="91"/>
    <x v="1"/>
    <x v="4"/>
    <x v="1"/>
    <x v="2"/>
    <x v="4"/>
    <x v="0"/>
    <x v="31"/>
    <x v="8"/>
    <x v="1"/>
  </r>
  <r>
    <x v="92"/>
    <x v="92"/>
    <x v="1"/>
    <x v="0"/>
    <x v="0"/>
    <x v="2"/>
    <x v="4"/>
    <x v="1"/>
    <x v="64"/>
    <x v="7"/>
    <x v="0"/>
  </r>
  <r>
    <x v="93"/>
    <x v="93"/>
    <x v="0"/>
    <x v="0"/>
    <x v="0"/>
    <x v="1"/>
    <x v="2"/>
    <x v="1"/>
    <x v="65"/>
    <x v="5"/>
    <x v="1"/>
  </r>
  <r>
    <x v="94"/>
    <x v="94"/>
    <x v="0"/>
    <x v="3"/>
    <x v="2"/>
    <x v="2"/>
    <x v="2"/>
    <x v="1"/>
    <x v="66"/>
    <x v="1"/>
    <x v="0"/>
  </r>
  <r>
    <x v="95"/>
    <x v="95"/>
    <x v="1"/>
    <x v="0"/>
    <x v="1"/>
    <x v="2"/>
    <x v="3"/>
    <x v="0"/>
    <x v="48"/>
    <x v="2"/>
    <x v="1"/>
  </r>
  <r>
    <x v="96"/>
    <x v="96"/>
    <x v="0"/>
    <x v="4"/>
    <x v="3"/>
    <x v="0"/>
    <x v="2"/>
    <x v="1"/>
    <x v="67"/>
    <x v="4"/>
    <x v="0"/>
  </r>
  <r>
    <x v="97"/>
    <x v="97"/>
    <x v="1"/>
    <x v="3"/>
    <x v="4"/>
    <x v="1"/>
    <x v="3"/>
    <x v="1"/>
    <x v="68"/>
    <x v="0"/>
    <x v="0"/>
  </r>
  <r>
    <x v="98"/>
    <x v="98"/>
    <x v="1"/>
    <x v="1"/>
    <x v="2"/>
    <x v="1"/>
    <x v="2"/>
    <x v="0"/>
    <x v="69"/>
    <x v="1"/>
    <x v="0"/>
  </r>
  <r>
    <x v="99"/>
    <x v="99"/>
    <x v="0"/>
    <x v="4"/>
    <x v="3"/>
    <x v="3"/>
    <x v="2"/>
    <x v="0"/>
    <x v="23"/>
    <x v="7"/>
    <x v="0"/>
  </r>
  <r>
    <x v="100"/>
    <x v="100"/>
    <x v="0"/>
    <x v="4"/>
    <x v="2"/>
    <x v="2"/>
    <x v="0"/>
    <x v="1"/>
    <x v="70"/>
    <x v="4"/>
    <x v="0"/>
  </r>
  <r>
    <x v="101"/>
    <x v="101"/>
    <x v="0"/>
    <x v="2"/>
    <x v="2"/>
    <x v="0"/>
    <x v="1"/>
    <x v="1"/>
    <x v="45"/>
    <x v="8"/>
    <x v="0"/>
  </r>
  <r>
    <x v="102"/>
    <x v="102"/>
    <x v="1"/>
    <x v="2"/>
    <x v="0"/>
    <x v="2"/>
    <x v="2"/>
    <x v="1"/>
    <x v="59"/>
    <x v="8"/>
    <x v="0"/>
  </r>
  <r>
    <x v="103"/>
    <x v="103"/>
    <x v="0"/>
    <x v="3"/>
    <x v="0"/>
    <x v="0"/>
    <x v="2"/>
    <x v="1"/>
    <x v="50"/>
    <x v="9"/>
    <x v="1"/>
  </r>
  <r>
    <x v="104"/>
    <x v="104"/>
    <x v="1"/>
    <x v="0"/>
    <x v="2"/>
    <x v="0"/>
    <x v="0"/>
    <x v="0"/>
    <x v="39"/>
    <x v="7"/>
    <x v="0"/>
  </r>
  <r>
    <x v="105"/>
    <x v="105"/>
    <x v="1"/>
    <x v="2"/>
    <x v="1"/>
    <x v="3"/>
    <x v="4"/>
    <x v="0"/>
    <x v="4"/>
    <x v="1"/>
    <x v="0"/>
  </r>
  <r>
    <x v="106"/>
    <x v="106"/>
    <x v="0"/>
    <x v="3"/>
    <x v="1"/>
    <x v="2"/>
    <x v="4"/>
    <x v="0"/>
    <x v="61"/>
    <x v="5"/>
    <x v="0"/>
  </r>
  <r>
    <x v="107"/>
    <x v="107"/>
    <x v="0"/>
    <x v="1"/>
    <x v="2"/>
    <x v="3"/>
    <x v="0"/>
    <x v="0"/>
    <x v="71"/>
    <x v="7"/>
    <x v="1"/>
  </r>
  <r>
    <x v="108"/>
    <x v="108"/>
    <x v="1"/>
    <x v="4"/>
    <x v="2"/>
    <x v="0"/>
    <x v="1"/>
    <x v="0"/>
    <x v="72"/>
    <x v="2"/>
    <x v="0"/>
  </r>
  <r>
    <x v="109"/>
    <x v="109"/>
    <x v="0"/>
    <x v="1"/>
    <x v="0"/>
    <x v="3"/>
    <x v="0"/>
    <x v="1"/>
    <x v="17"/>
    <x v="2"/>
    <x v="0"/>
  </r>
  <r>
    <x v="110"/>
    <x v="110"/>
    <x v="0"/>
    <x v="3"/>
    <x v="4"/>
    <x v="2"/>
    <x v="0"/>
    <x v="1"/>
    <x v="73"/>
    <x v="7"/>
    <x v="0"/>
  </r>
  <r>
    <x v="111"/>
    <x v="111"/>
    <x v="1"/>
    <x v="1"/>
    <x v="1"/>
    <x v="1"/>
    <x v="4"/>
    <x v="0"/>
    <x v="74"/>
    <x v="0"/>
    <x v="0"/>
  </r>
  <r>
    <x v="112"/>
    <x v="112"/>
    <x v="0"/>
    <x v="2"/>
    <x v="1"/>
    <x v="2"/>
    <x v="3"/>
    <x v="0"/>
    <x v="61"/>
    <x v="0"/>
    <x v="0"/>
  </r>
  <r>
    <x v="113"/>
    <x v="113"/>
    <x v="0"/>
    <x v="2"/>
    <x v="3"/>
    <x v="1"/>
    <x v="4"/>
    <x v="0"/>
    <x v="53"/>
    <x v="5"/>
    <x v="0"/>
  </r>
  <r>
    <x v="114"/>
    <x v="114"/>
    <x v="1"/>
    <x v="1"/>
    <x v="0"/>
    <x v="1"/>
    <x v="4"/>
    <x v="1"/>
    <x v="75"/>
    <x v="7"/>
    <x v="0"/>
  </r>
  <r>
    <x v="115"/>
    <x v="115"/>
    <x v="1"/>
    <x v="3"/>
    <x v="0"/>
    <x v="1"/>
    <x v="0"/>
    <x v="0"/>
    <x v="72"/>
    <x v="5"/>
    <x v="0"/>
  </r>
  <r>
    <x v="116"/>
    <x v="116"/>
    <x v="1"/>
    <x v="0"/>
    <x v="4"/>
    <x v="1"/>
    <x v="1"/>
    <x v="0"/>
    <x v="22"/>
    <x v="6"/>
    <x v="1"/>
  </r>
  <r>
    <x v="117"/>
    <x v="117"/>
    <x v="1"/>
    <x v="1"/>
    <x v="2"/>
    <x v="1"/>
    <x v="4"/>
    <x v="1"/>
    <x v="66"/>
    <x v="5"/>
    <x v="0"/>
  </r>
  <r>
    <x v="118"/>
    <x v="118"/>
    <x v="0"/>
    <x v="2"/>
    <x v="0"/>
    <x v="1"/>
    <x v="4"/>
    <x v="0"/>
    <x v="49"/>
    <x v="3"/>
    <x v="1"/>
  </r>
  <r>
    <x v="119"/>
    <x v="119"/>
    <x v="1"/>
    <x v="1"/>
    <x v="2"/>
    <x v="1"/>
    <x v="1"/>
    <x v="0"/>
    <x v="76"/>
    <x v="6"/>
    <x v="0"/>
  </r>
  <r>
    <x v="120"/>
    <x v="120"/>
    <x v="1"/>
    <x v="4"/>
    <x v="2"/>
    <x v="3"/>
    <x v="4"/>
    <x v="0"/>
    <x v="77"/>
    <x v="0"/>
    <x v="1"/>
  </r>
  <r>
    <x v="121"/>
    <x v="121"/>
    <x v="0"/>
    <x v="2"/>
    <x v="0"/>
    <x v="3"/>
    <x v="3"/>
    <x v="1"/>
    <x v="78"/>
    <x v="6"/>
    <x v="1"/>
  </r>
  <r>
    <x v="122"/>
    <x v="122"/>
    <x v="1"/>
    <x v="1"/>
    <x v="0"/>
    <x v="3"/>
    <x v="2"/>
    <x v="1"/>
    <x v="79"/>
    <x v="4"/>
    <x v="1"/>
  </r>
  <r>
    <x v="123"/>
    <x v="123"/>
    <x v="0"/>
    <x v="4"/>
    <x v="2"/>
    <x v="2"/>
    <x v="4"/>
    <x v="0"/>
    <x v="30"/>
    <x v="2"/>
    <x v="1"/>
  </r>
  <r>
    <x v="124"/>
    <x v="124"/>
    <x v="1"/>
    <x v="3"/>
    <x v="1"/>
    <x v="0"/>
    <x v="4"/>
    <x v="1"/>
    <x v="3"/>
    <x v="6"/>
    <x v="1"/>
  </r>
  <r>
    <x v="125"/>
    <x v="125"/>
    <x v="0"/>
    <x v="4"/>
    <x v="0"/>
    <x v="1"/>
    <x v="1"/>
    <x v="0"/>
    <x v="80"/>
    <x v="0"/>
    <x v="1"/>
  </r>
  <r>
    <x v="126"/>
    <x v="126"/>
    <x v="1"/>
    <x v="4"/>
    <x v="1"/>
    <x v="2"/>
    <x v="2"/>
    <x v="1"/>
    <x v="46"/>
    <x v="7"/>
    <x v="0"/>
  </r>
  <r>
    <x v="127"/>
    <x v="127"/>
    <x v="0"/>
    <x v="4"/>
    <x v="0"/>
    <x v="0"/>
    <x v="3"/>
    <x v="1"/>
    <x v="18"/>
    <x v="6"/>
    <x v="0"/>
  </r>
  <r>
    <x v="128"/>
    <x v="128"/>
    <x v="0"/>
    <x v="2"/>
    <x v="0"/>
    <x v="2"/>
    <x v="2"/>
    <x v="0"/>
    <x v="16"/>
    <x v="1"/>
    <x v="1"/>
  </r>
  <r>
    <x v="129"/>
    <x v="129"/>
    <x v="0"/>
    <x v="3"/>
    <x v="1"/>
    <x v="1"/>
    <x v="2"/>
    <x v="0"/>
    <x v="80"/>
    <x v="0"/>
    <x v="1"/>
  </r>
  <r>
    <x v="130"/>
    <x v="130"/>
    <x v="1"/>
    <x v="4"/>
    <x v="1"/>
    <x v="1"/>
    <x v="2"/>
    <x v="1"/>
    <x v="24"/>
    <x v="7"/>
    <x v="0"/>
  </r>
  <r>
    <x v="131"/>
    <x v="131"/>
    <x v="0"/>
    <x v="2"/>
    <x v="1"/>
    <x v="3"/>
    <x v="0"/>
    <x v="1"/>
    <x v="38"/>
    <x v="9"/>
    <x v="0"/>
  </r>
  <r>
    <x v="132"/>
    <x v="132"/>
    <x v="1"/>
    <x v="1"/>
    <x v="2"/>
    <x v="0"/>
    <x v="2"/>
    <x v="0"/>
    <x v="41"/>
    <x v="0"/>
    <x v="1"/>
  </r>
  <r>
    <x v="133"/>
    <x v="133"/>
    <x v="0"/>
    <x v="0"/>
    <x v="0"/>
    <x v="0"/>
    <x v="2"/>
    <x v="0"/>
    <x v="21"/>
    <x v="2"/>
    <x v="0"/>
  </r>
  <r>
    <x v="134"/>
    <x v="134"/>
    <x v="0"/>
    <x v="2"/>
    <x v="4"/>
    <x v="0"/>
    <x v="2"/>
    <x v="1"/>
    <x v="81"/>
    <x v="9"/>
    <x v="1"/>
  </r>
  <r>
    <x v="135"/>
    <x v="135"/>
    <x v="1"/>
    <x v="0"/>
    <x v="1"/>
    <x v="0"/>
    <x v="0"/>
    <x v="1"/>
    <x v="82"/>
    <x v="6"/>
    <x v="1"/>
  </r>
  <r>
    <x v="136"/>
    <x v="136"/>
    <x v="0"/>
    <x v="4"/>
    <x v="0"/>
    <x v="2"/>
    <x v="2"/>
    <x v="0"/>
    <x v="1"/>
    <x v="9"/>
    <x v="1"/>
  </r>
  <r>
    <x v="137"/>
    <x v="137"/>
    <x v="0"/>
    <x v="4"/>
    <x v="0"/>
    <x v="1"/>
    <x v="4"/>
    <x v="1"/>
    <x v="63"/>
    <x v="7"/>
    <x v="0"/>
  </r>
  <r>
    <x v="138"/>
    <x v="138"/>
    <x v="0"/>
    <x v="4"/>
    <x v="1"/>
    <x v="3"/>
    <x v="4"/>
    <x v="0"/>
    <x v="83"/>
    <x v="9"/>
    <x v="1"/>
  </r>
  <r>
    <x v="139"/>
    <x v="139"/>
    <x v="1"/>
    <x v="0"/>
    <x v="0"/>
    <x v="3"/>
    <x v="0"/>
    <x v="1"/>
    <x v="49"/>
    <x v="2"/>
    <x v="1"/>
  </r>
  <r>
    <x v="140"/>
    <x v="140"/>
    <x v="0"/>
    <x v="3"/>
    <x v="1"/>
    <x v="0"/>
    <x v="1"/>
    <x v="1"/>
    <x v="11"/>
    <x v="0"/>
    <x v="1"/>
  </r>
  <r>
    <x v="141"/>
    <x v="141"/>
    <x v="1"/>
    <x v="3"/>
    <x v="2"/>
    <x v="3"/>
    <x v="0"/>
    <x v="0"/>
    <x v="84"/>
    <x v="2"/>
    <x v="0"/>
  </r>
  <r>
    <x v="142"/>
    <x v="142"/>
    <x v="0"/>
    <x v="2"/>
    <x v="4"/>
    <x v="2"/>
    <x v="4"/>
    <x v="0"/>
    <x v="79"/>
    <x v="5"/>
    <x v="1"/>
  </r>
  <r>
    <x v="143"/>
    <x v="143"/>
    <x v="1"/>
    <x v="0"/>
    <x v="2"/>
    <x v="3"/>
    <x v="4"/>
    <x v="0"/>
    <x v="51"/>
    <x v="1"/>
    <x v="1"/>
  </r>
  <r>
    <x v="144"/>
    <x v="144"/>
    <x v="0"/>
    <x v="3"/>
    <x v="3"/>
    <x v="0"/>
    <x v="0"/>
    <x v="1"/>
    <x v="6"/>
    <x v="8"/>
    <x v="0"/>
  </r>
  <r>
    <x v="145"/>
    <x v="145"/>
    <x v="1"/>
    <x v="1"/>
    <x v="3"/>
    <x v="1"/>
    <x v="3"/>
    <x v="0"/>
    <x v="71"/>
    <x v="0"/>
    <x v="1"/>
  </r>
  <r>
    <x v="146"/>
    <x v="146"/>
    <x v="1"/>
    <x v="0"/>
    <x v="2"/>
    <x v="1"/>
    <x v="4"/>
    <x v="1"/>
    <x v="85"/>
    <x v="8"/>
    <x v="1"/>
  </r>
  <r>
    <x v="147"/>
    <x v="147"/>
    <x v="0"/>
    <x v="0"/>
    <x v="2"/>
    <x v="2"/>
    <x v="1"/>
    <x v="0"/>
    <x v="86"/>
    <x v="2"/>
    <x v="1"/>
  </r>
  <r>
    <x v="148"/>
    <x v="148"/>
    <x v="0"/>
    <x v="2"/>
    <x v="3"/>
    <x v="1"/>
    <x v="0"/>
    <x v="0"/>
    <x v="23"/>
    <x v="4"/>
    <x v="0"/>
  </r>
  <r>
    <x v="149"/>
    <x v="149"/>
    <x v="1"/>
    <x v="4"/>
    <x v="2"/>
    <x v="2"/>
    <x v="0"/>
    <x v="1"/>
    <x v="20"/>
    <x v="1"/>
    <x v="0"/>
  </r>
  <r>
    <x v="150"/>
    <x v="150"/>
    <x v="0"/>
    <x v="2"/>
    <x v="1"/>
    <x v="3"/>
    <x v="4"/>
    <x v="0"/>
    <x v="87"/>
    <x v="6"/>
    <x v="0"/>
  </r>
  <r>
    <x v="151"/>
    <x v="151"/>
    <x v="1"/>
    <x v="1"/>
    <x v="3"/>
    <x v="2"/>
    <x v="3"/>
    <x v="1"/>
    <x v="77"/>
    <x v="0"/>
    <x v="1"/>
  </r>
  <r>
    <x v="152"/>
    <x v="152"/>
    <x v="0"/>
    <x v="0"/>
    <x v="0"/>
    <x v="0"/>
    <x v="2"/>
    <x v="1"/>
    <x v="47"/>
    <x v="5"/>
    <x v="1"/>
  </r>
  <r>
    <x v="153"/>
    <x v="153"/>
    <x v="0"/>
    <x v="1"/>
    <x v="2"/>
    <x v="2"/>
    <x v="3"/>
    <x v="0"/>
    <x v="87"/>
    <x v="1"/>
    <x v="0"/>
  </r>
  <r>
    <x v="154"/>
    <x v="154"/>
    <x v="1"/>
    <x v="4"/>
    <x v="1"/>
    <x v="3"/>
    <x v="1"/>
    <x v="1"/>
    <x v="53"/>
    <x v="6"/>
    <x v="0"/>
  </r>
  <r>
    <x v="155"/>
    <x v="155"/>
    <x v="1"/>
    <x v="2"/>
    <x v="0"/>
    <x v="1"/>
    <x v="3"/>
    <x v="1"/>
    <x v="36"/>
    <x v="6"/>
    <x v="0"/>
  </r>
  <r>
    <x v="156"/>
    <x v="156"/>
    <x v="0"/>
    <x v="1"/>
    <x v="4"/>
    <x v="3"/>
    <x v="4"/>
    <x v="1"/>
    <x v="86"/>
    <x v="8"/>
    <x v="1"/>
  </r>
  <r>
    <x v="157"/>
    <x v="157"/>
    <x v="0"/>
    <x v="3"/>
    <x v="3"/>
    <x v="3"/>
    <x v="1"/>
    <x v="0"/>
    <x v="56"/>
    <x v="8"/>
    <x v="0"/>
  </r>
  <r>
    <x v="158"/>
    <x v="158"/>
    <x v="0"/>
    <x v="3"/>
    <x v="0"/>
    <x v="3"/>
    <x v="4"/>
    <x v="0"/>
    <x v="84"/>
    <x v="6"/>
    <x v="0"/>
  </r>
  <r>
    <x v="159"/>
    <x v="159"/>
    <x v="1"/>
    <x v="2"/>
    <x v="1"/>
    <x v="2"/>
    <x v="3"/>
    <x v="0"/>
    <x v="79"/>
    <x v="2"/>
    <x v="1"/>
  </r>
  <r>
    <x v="160"/>
    <x v="160"/>
    <x v="1"/>
    <x v="2"/>
    <x v="1"/>
    <x v="1"/>
    <x v="3"/>
    <x v="0"/>
    <x v="16"/>
    <x v="2"/>
    <x v="1"/>
  </r>
  <r>
    <x v="161"/>
    <x v="161"/>
    <x v="1"/>
    <x v="3"/>
    <x v="3"/>
    <x v="3"/>
    <x v="0"/>
    <x v="0"/>
    <x v="4"/>
    <x v="8"/>
    <x v="0"/>
  </r>
  <r>
    <x v="162"/>
    <x v="162"/>
    <x v="0"/>
    <x v="3"/>
    <x v="2"/>
    <x v="3"/>
    <x v="1"/>
    <x v="0"/>
    <x v="52"/>
    <x v="2"/>
    <x v="1"/>
  </r>
  <r>
    <x v="163"/>
    <x v="163"/>
    <x v="0"/>
    <x v="0"/>
    <x v="1"/>
    <x v="2"/>
    <x v="1"/>
    <x v="1"/>
    <x v="72"/>
    <x v="3"/>
    <x v="0"/>
  </r>
  <r>
    <x v="164"/>
    <x v="164"/>
    <x v="1"/>
    <x v="2"/>
    <x v="1"/>
    <x v="1"/>
    <x v="2"/>
    <x v="0"/>
    <x v="44"/>
    <x v="9"/>
    <x v="0"/>
  </r>
  <r>
    <x v="165"/>
    <x v="165"/>
    <x v="0"/>
    <x v="0"/>
    <x v="2"/>
    <x v="1"/>
    <x v="0"/>
    <x v="1"/>
    <x v="50"/>
    <x v="2"/>
    <x v="1"/>
  </r>
  <r>
    <x v="166"/>
    <x v="166"/>
    <x v="1"/>
    <x v="0"/>
    <x v="3"/>
    <x v="1"/>
    <x v="4"/>
    <x v="1"/>
    <x v="65"/>
    <x v="1"/>
    <x v="1"/>
  </r>
  <r>
    <x v="167"/>
    <x v="167"/>
    <x v="1"/>
    <x v="0"/>
    <x v="2"/>
    <x v="1"/>
    <x v="3"/>
    <x v="0"/>
    <x v="31"/>
    <x v="3"/>
    <x v="1"/>
  </r>
  <r>
    <x v="168"/>
    <x v="168"/>
    <x v="1"/>
    <x v="1"/>
    <x v="2"/>
    <x v="2"/>
    <x v="2"/>
    <x v="1"/>
    <x v="21"/>
    <x v="0"/>
    <x v="0"/>
  </r>
  <r>
    <x v="169"/>
    <x v="169"/>
    <x v="0"/>
    <x v="4"/>
    <x v="0"/>
    <x v="3"/>
    <x v="2"/>
    <x v="1"/>
    <x v="33"/>
    <x v="0"/>
    <x v="1"/>
  </r>
  <r>
    <x v="170"/>
    <x v="170"/>
    <x v="0"/>
    <x v="3"/>
    <x v="3"/>
    <x v="3"/>
    <x v="1"/>
    <x v="0"/>
    <x v="77"/>
    <x v="4"/>
    <x v="1"/>
  </r>
  <r>
    <x v="171"/>
    <x v="171"/>
    <x v="1"/>
    <x v="4"/>
    <x v="1"/>
    <x v="1"/>
    <x v="3"/>
    <x v="0"/>
    <x v="17"/>
    <x v="0"/>
    <x v="0"/>
  </r>
  <r>
    <x v="172"/>
    <x v="172"/>
    <x v="1"/>
    <x v="0"/>
    <x v="3"/>
    <x v="1"/>
    <x v="3"/>
    <x v="0"/>
    <x v="88"/>
    <x v="6"/>
    <x v="0"/>
  </r>
  <r>
    <x v="173"/>
    <x v="173"/>
    <x v="1"/>
    <x v="3"/>
    <x v="0"/>
    <x v="3"/>
    <x v="2"/>
    <x v="1"/>
    <x v="72"/>
    <x v="6"/>
    <x v="0"/>
  </r>
  <r>
    <x v="174"/>
    <x v="174"/>
    <x v="1"/>
    <x v="3"/>
    <x v="0"/>
    <x v="1"/>
    <x v="1"/>
    <x v="0"/>
    <x v="15"/>
    <x v="0"/>
    <x v="1"/>
  </r>
  <r>
    <x v="175"/>
    <x v="175"/>
    <x v="0"/>
    <x v="1"/>
    <x v="0"/>
    <x v="1"/>
    <x v="4"/>
    <x v="0"/>
    <x v="89"/>
    <x v="3"/>
    <x v="1"/>
  </r>
  <r>
    <x v="176"/>
    <x v="176"/>
    <x v="0"/>
    <x v="1"/>
    <x v="2"/>
    <x v="2"/>
    <x v="3"/>
    <x v="1"/>
    <x v="50"/>
    <x v="6"/>
    <x v="1"/>
  </r>
  <r>
    <x v="177"/>
    <x v="177"/>
    <x v="0"/>
    <x v="1"/>
    <x v="2"/>
    <x v="0"/>
    <x v="1"/>
    <x v="1"/>
    <x v="83"/>
    <x v="1"/>
    <x v="1"/>
  </r>
  <r>
    <x v="178"/>
    <x v="178"/>
    <x v="1"/>
    <x v="4"/>
    <x v="4"/>
    <x v="0"/>
    <x v="3"/>
    <x v="1"/>
    <x v="40"/>
    <x v="3"/>
    <x v="1"/>
  </r>
  <r>
    <x v="179"/>
    <x v="179"/>
    <x v="1"/>
    <x v="2"/>
    <x v="1"/>
    <x v="3"/>
    <x v="3"/>
    <x v="0"/>
    <x v="27"/>
    <x v="5"/>
    <x v="0"/>
  </r>
  <r>
    <x v="180"/>
    <x v="180"/>
    <x v="0"/>
    <x v="3"/>
    <x v="4"/>
    <x v="0"/>
    <x v="0"/>
    <x v="1"/>
    <x v="53"/>
    <x v="3"/>
    <x v="0"/>
  </r>
  <r>
    <x v="181"/>
    <x v="181"/>
    <x v="0"/>
    <x v="3"/>
    <x v="3"/>
    <x v="3"/>
    <x v="2"/>
    <x v="1"/>
    <x v="66"/>
    <x v="5"/>
    <x v="0"/>
  </r>
  <r>
    <x v="182"/>
    <x v="182"/>
    <x v="1"/>
    <x v="3"/>
    <x v="1"/>
    <x v="0"/>
    <x v="1"/>
    <x v="0"/>
    <x v="1"/>
    <x v="5"/>
    <x v="1"/>
  </r>
  <r>
    <x v="183"/>
    <x v="183"/>
    <x v="0"/>
    <x v="3"/>
    <x v="4"/>
    <x v="1"/>
    <x v="2"/>
    <x v="0"/>
    <x v="68"/>
    <x v="0"/>
    <x v="0"/>
  </r>
  <r>
    <x v="184"/>
    <x v="184"/>
    <x v="0"/>
    <x v="2"/>
    <x v="0"/>
    <x v="1"/>
    <x v="3"/>
    <x v="1"/>
    <x v="50"/>
    <x v="3"/>
    <x v="1"/>
  </r>
  <r>
    <x v="185"/>
    <x v="185"/>
    <x v="1"/>
    <x v="1"/>
    <x v="4"/>
    <x v="0"/>
    <x v="0"/>
    <x v="0"/>
    <x v="90"/>
    <x v="6"/>
    <x v="1"/>
  </r>
  <r>
    <x v="186"/>
    <x v="186"/>
    <x v="1"/>
    <x v="4"/>
    <x v="1"/>
    <x v="3"/>
    <x v="0"/>
    <x v="0"/>
    <x v="83"/>
    <x v="0"/>
    <x v="1"/>
  </r>
  <r>
    <x v="187"/>
    <x v="187"/>
    <x v="1"/>
    <x v="3"/>
    <x v="1"/>
    <x v="0"/>
    <x v="2"/>
    <x v="1"/>
    <x v="73"/>
    <x v="1"/>
    <x v="0"/>
  </r>
  <r>
    <x v="188"/>
    <x v="188"/>
    <x v="0"/>
    <x v="1"/>
    <x v="2"/>
    <x v="1"/>
    <x v="1"/>
    <x v="0"/>
    <x v="63"/>
    <x v="7"/>
    <x v="0"/>
  </r>
  <r>
    <x v="189"/>
    <x v="189"/>
    <x v="0"/>
    <x v="3"/>
    <x v="3"/>
    <x v="2"/>
    <x v="4"/>
    <x v="1"/>
    <x v="39"/>
    <x v="3"/>
    <x v="0"/>
  </r>
  <r>
    <x v="190"/>
    <x v="109"/>
    <x v="1"/>
    <x v="2"/>
    <x v="2"/>
    <x v="3"/>
    <x v="0"/>
    <x v="1"/>
    <x v="73"/>
    <x v="3"/>
    <x v="0"/>
  </r>
  <r>
    <x v="191"/>
    <x v="190"/>
    <x v="0"/>
    <x v="1"/>
    <x v="0"/>
    <x v="0"/>
    <x v="1"/>
    <x v="0"/>
    <x v="85"/>
    <x v="5"/>
    <x v="1"/>
  </r>
  <r>
    <x v="192"/>
    <x v="191"/>
    <x v="1"/>
    <x v="2"/>
    <x v="2"/>
    <x v="3"/>
    <x v="3"/>
    <x v="0"/>
    <x v="82"/>
    <x v="9"/>
    <x v="1"/>
  </r>
  <r>
    <x v="193"/>
    <x v="192"/>
    <x v="1"/>
    <x v="3"/>
    <x v="0"/>
    <x v="2"/>
    <x v="0"/>
    <x v="1"/>
    <x v="56"/>
    <x v="5"/>
    <x v="0"/>
  </r>
  <r>
    <x v="194"/>
    <x v="193"/>
    <x v="0"/>
    <x v="0"/>
    <x v="1"/>
    <x v="0"/>
    <x v="4"/>
    <x v="1"/>
    <x v="22"/>
    <x v="6"/>
    <x v="1"/>
  </r>
  <r>
    <x v="195"/>
    <x v="194"/>
    <x v="0"/>
    <x v="4"/>
    <x v="1"/>
    <x v="2"/>
    <x v="4"/>
    <x v="1"/>
    <x v="18"/>
    <x v="8"/>
    <x v="0"/>
  </r>
  <r>
    <x v="196"/>
    <x v="195"/>
    <x v="0"/>
    <x v="3"/>
    <x v="1"/>
    <x v="1"/>
    <x v="3"/>
    <x v="0"/>
    <x v="77"/>
    <x v="3"/>
    <x v="1"/>
  </r>
  <r>
    <x v="197"/>
    <x v="196"/>
    <x v="0"/>
    <x v="3"/>
    <x v="3"/>
    <x v="3"/>
    <x v="4"/>
    <x v="0"/>
    <x v="71"/>
    <x v="8"/>
    <x v="1"/>
  </r>
  <r>
    <x v="198"/>
    <x v="197"/>
    <x v="0"/>
    <x v="1"/>
    <x v="1"/>
    <x v="1"/>
    <x v="1"/>
    <x v="1"/>
    <x v="15"/>
    <x v="0"/>
    <x v="1"/>
  </r>
  <r>
    <x v="199"/>
    <x v="198"/>
    <x v="0"/>
    <x v="0"/>
    <x v="4"/>
    <x v="0"/>
    <x v="0"/>
    <x v="0"/>
    <x v="74"/>
    <x v="8"/>
    <x v="0"/>
  </r>
  <r>
    <x v="200"/>
    <x v="199"/>
    <x v="0"/>
    <x v="1"/>
    <x v="4"/>
    <x v="1"/>
    <x v="2"/>
    <x v="0"/>
    <x v="81"/>
    <x v="0"/>
    <x v="1"/>
  </r>
  <r>
    <x v="201"/>
    <x v="200"/>
    <x v="1"/>
    <x v="1"/>
    <x v="3"/>
    <x v="3"/>
    <x v="0"/>
    <x v="0"/>
    <x v="57"/>
    <x v="9"/>
    <x v="0"/>
  </r>
  <r>
    <x v="202"/>
    <x v="201"/>
    <x v="0"/>
    <x v="0"/>
    <x v="2"/>
    <x v="2"/>
    <x v="0"/>
    <x v="0"/>
    <x v="91"/>
    <x v="5"/>
    <x v="0"/>
  </r>
  <r>
    <x v="203"/>
    <x v="202"/>
    <x v="0"/>
    <x v="3"/>
    <x v="4"/>
    <x v="2"/>
    <x v="0"/>
    <x v="0"/>
    <x v="49"/>
    <x v="2"/>
    <x v="1"/>
  </r>
  <r>
    <x v="204"/>
    <x v="203"/>
    <x v="1"/>
    <x v="2"/>
    <x v="3"/>
    <x v="3"/>
    <x v="3"/>
    <x v="0"/>
    <x v="19"/>
    <x v="5"/>
    <x v="0"/>
  </r>
  <r>
    <x v="205"/>
    <x v="204"/>
    <x v="0"/>
    <x v="0"/>
    <x v="2"/>
    <x v="2"/>
    <x v="4"/>
    <x v="0"/>
    <x v="62"/>
    <x v="9"/>
    <x v="1"/>
  </r>
  <r>
    <x v="206"/>
    <x v="205"/>
    <x v="1"/>
    <x v="3"/>
    <x v="2"/>
    <x v="3"/>
    <x v="2"/>
    <x v="0"/>
    <x v="20"/>
    <x v="6"/>
    <x v="0"/>
  </r>
  <r>
    <x v="207"/>
    <x v="206"/>
    <x v="1"/>
    <x v="1"/>
    <x v="2"/>
    <x v="2"/>
    <x v="3"/>
    <x v="1"/>
    <x v="92"/>
    <x v="6"/>
    <x v="1"/>
  </r>
  <r>
    <x v="208"/>
    <x v="207"/>
    <x v="0"/>
    <x v="4"/>
    <x v="4"/>
    <x v="3"/>
    <x v="1"/>
    <x v="1"/>
    <x v="18"/>
    <x v="8"/>
    <x v="0"/>
  </r>
  <r>
    <x v="209"/>
    <x v="208"/>
    <x v="0"/>
    <x v="1"/>
    <x v="2"/>
    <x v="1"/>
    <x v="2"/>
    <x v="1"/>
    <x v="59"/>
    <x v="0"/>
    <x v="0"/>
  </r>
  <r>
    <x v="210"/>
    <x v="209"/>
    <x v="1"/>
    <x v="1"/>
    <x v="3"/>
    <x v="0"/>
    <x v="4"/>
    <x v="1"/>
    <x v="29"/>
    <x v="9"/>
    <x v="0"/>
  </r>
  <r>
    <x v="211"/>
    <x v="210"/>
    <x v="1"/>
    <x v="1"/>
    <x v="4"/>
    <x v="1"/>
    <x v="2"/>
    <x v="1"/>
    <x v="93"/>
    <x v="8"/>
    <x v="1"/>
  </r>
  <r>
    <x v="212"/>
    <x v="211"/>
    <x v="1"/>
    <x v="4"/>
    <x v="0"/>
    <x v="0"/>
    <x v="4"/>
    <x v="1"/>
    <x v="2"/>
    <x v="7"/>
    <x v="1"/>
  </r>
  <r>
    <x v="213"/>
    <x v="212"/>
    <x v="1"/>
    <x v="3"/>
    <x v="0"/>
    <x v="3"/>
    <x v="0"/>
    <x v="0"/>
    <x v="59"/>
    <x v="8"/>
    <x v="0"/>
  </r>
  <r>
    <x v="214"/>
    <x v="213"/>
    <x v="0"/>
    <x v="4"/>
    <x v="4"/>
    <x v="0"/>
    <x v="1"/>
    <x v="0"/>
    <x v="94"/>
    <x v="0"/>
    <x v="1"/>
  </r>
  <r>
    <x v="215"/>
    <x v="214"/>
    <x v="1"/>
    <x v="4"/>
    <x v="0"/>
    <x v="2"/>
    <x v="1"/>
    <x v="0"/>
    <x v="52"/>
    <x v="9"/>
    <x v="1"/>
  </r>
  <r>
    <x v="216"/>
    <x v="215"/>
    <x v="0"/>
    <x v="3"/>
    <x v="2"/>
    <x v="0"/>
    <x v="1"/>
    <x v="1"/>
    <x v="38"/>
    <x v="7"/>
    <x v="0"/>
  </r>
  <r>
    <x v="217"/>
    <x v="216"/>
    <x v="1"/>
    <x v="3"/>
    <x v="0"/>
    <x v="3"/>
    <x v="3"/>
    <x v="1"/>
    <x v="77"/>
    <x v="4"/>
    <x v="1"/>
  </r>
  <r>
    <x v="218"/>
    <x v="217"/>
    <x v="0"/>
    <x v="4"/>
    <x v="4"/>
    <x v="0"/>
    <x v="0"/>
    <x v="0"/>
    <x v="78"/>
    <x v="9"/>
    <x v="1"/>
  </r>
  <r>
    <x v="219"/>
    <x v="218"/>
    <x v="1"/>
    <x v="0"/>
    <x v="0"/>
    <x v="1"/>
    <x v="3"/>
    <x v="0"/>
    <x v="29"/>
    <x v="1"/>
    <x v="0"/>
  </r>
  <r>
    <x v="220"/>
    <x v="219"/>
    <x v="0"/>
    <x v="3"/>
    <x v="2"/>
    <x v="1"/>
    <x v="3"/>
    <x v="0"/>
    <x v="6"/>
    <x v="0"/>
    <x v="0"/>
  </r>
  <r>
    <x v="221"/>
    <x v="220"/>
    <x v="0"/>
    <x v="3"/>
    <x v="2"/>
    <x v="2"/>
    <x v="2"/>
    <x v="1"/>
    <x v="48"/>
    <x v="6"/>
    <x v="1"/>
  </r>
  <r>
    <x v="222"/>
    <x v="221"/>
    <x v="0"/>
    <x v="4"/>
    <x v="2"/>
    <x v="1"/>
    <x v="2"/>
    <x v="0"/>
    <x v="19"/>
    <x v="2"/>
    <x v="0"/>
  </r>
  <r>
    <x v="223"/>
    <x v="222"/>
    <x v="1"/>
    <x v="1"/>
    <x v="0"/>
    <x v="2"/>
    <x v="3"/>
    <x v="0"/>
    <x v="19"/>
    <x v="1"/>
    <x v="0"/>
  </r>
  <r>
    <x v="224"/>
    <x v="223"/>
    <x v="0"/>
    <x v="2"/>
    <x v="0"/>
    <x v="1"/>
    <x v="3"/>
    <x v="0"/>
    <x v="55"/>
    <x v="8"/>
    <x v="0"/>
  </r>
  <r>
    <x v="225"/>
    <x v="224"/>
    <x v="0"/>
    <x v="3"/>
    <x v="4"/>
    <x v="2"/>
    <x v="4"/>
    <x v="0"/>
    <x v="5"/>
    <x v="3"/>
    <x v="1"/>
  </r>
  <r>
    <x v="226"/>
    <x v="225"/>
    <x v="0"/>
    <x v="3"/>
    <x v="3"/>
    <x v="1"/>
    <x v="0"/>
    <x v="0"/>
    <x v="84"/>
    <x v="3"/>
    <x v="0"/>
  </r>
  <r>
    <x v="227"/>
    <x v="226"/>
    <x v="1"/>
    <x v="2"/>
    <x v="2"/>
    <x v="0"/>
    <x v="4"/>
    <x v="1"/>
    <x v="80"/>
    <x v="2"/>
    <x v="1"/>
  </r>
  <r>
    <x v="228"/>
    <x v="227"/>
    <x v="1"/>
    <x v="1"/>
    <x v="3"/>
    <x v="1"/>
    <x v="3"/>
    <x v="0"/>
    <x v="95"/>
    <x v="6"/>
    <x v="1"/>
  </r>
  <r>
    <x v="229"/>
    <x v="228"/>
    <x v="0"/>
    <x v="2"/>
    <x v="4"/>
    <x v="2"/>
    <x v="1"/>
    <x v="1"/>
    <x v="49"/>
    <x v="1"/>
    <x v="1"/>
  </r>
  <r>
    <x v="230"/>
    <x v="229"/>
    <x v="1"/>
    <x v="2"/>
    <x v="3"/>
    <x v="0"/>
    <x v="0"/>
    <x v="0"/>
    <x v="31"/>
    <x v="6"/>
    <x v="1"/>
  </r>
  <r>
    <x v="231"/>
    <x v="230"/>
    <x v="1"/>
    <x v="3"/>
    <x v="1"/>
    <x v="0"/>
    <x v="2"/>
    <x v="0"/>
    <x v="96"/>
    <x v="1"/>
    <x v="0"/>
  </r>
  <r>
    <x v="232"/>
    <x v="231"/>
    <x v="1"/>
    <x v="1"/>
    <x v="3"/>
    <x v="1"/>
    <x v="4"/>
    <x v="0"/>
    <x v="2"/>
    <x v="6"/>
    <x v="1"/>
  </r>
  <r>
    <x v="233"/>
    <x v="232"/>
    <x v="0"/>
    <x v="1"/>
    <x v="3"/>
    <x v="3"/>
    <x v="1"/>
    <x v="0"/>
    <x v="86"/>
    <x v="7"/>
    <x v="1"/>
  </r>
  <r>
    <x v="234"/>
    <x v="233"/>
    <x v="1"/>
    <x v="3"/>
    <x v="0"/>
    <x v="3"/>
    <x v="0"/>
    <x v="0"/>
    <x v="79"/>
    <x v="5"/>
    <x v="1"/>
  </r>
  <r>
    <x v="235"/>
    <x v="234"/>
    <x v="1"/>
    <x v="0"/>
    <x v="4"/>
    <x v="3"/>
    <x v="2"/>
    <x v="0"/>
    <x v="97"/>
    <x v="6"/>
    <x v="0"/>
  </r>
  <r>
    <x v="236"/>
    <x v="235"/>
    <x v="1"/>
    <x v="0"/>
    <x v="0"/>
    <x v="0"/>
    <x v="2"/>
    <x v="0"/>
    <x v="58"/>
    <x v="4"/>
    <x v="1"/>
  </r>
  <r>
    <x v="237"/>
    <x v="236"/>
    <x v="0"/>
    <x v="1"/>
    <x v="4"/>
    <x v="3"/>
    <x v="0"/>
    <x v="0"/>
    <x v="83"/>
    <x v="2"/>
    <x v="1"/>
  </r>
  <r>
    <x v="238"/>
    <x v="237"/>
    <x v="1"/>
    <x v="3"/>
    <x v="2"/>
    <x v="3"/>
    <x v="4"/>
    <x v="1"/>
    <x v="73"/>
    <x v="4"/>
    <x v="0"/>
  </r>
  <r>
    <x v="239"/>
    <x v="238"/>
    <x v="1"/>
    <x v="0"/>
    <x v="0"/>
    <x v="2"/>
    <x v="0"/>
    <x v="0"/>
    <x v="29"/>
    <x v="8"/>
    <x v="0"/>
  </r>
  <r>
    <x v="240"/>
    <x v="239"/>
    <x v="0"/>
    <x v="0"/>
    <x v="4"/>
    <x v="1"/>
    <x v="3"/>
    <x v="1"/>
    <x v="98"/>
    <x v="0"/>
    <x v="1"/>
  </r>
  <r>
    <x v="241"/>
    <x v="240"/>
    <x v="1"/>
    <x v="1"/>
    <x v="0"/>
    <x v="1"/>
    <x v="1"/>
    <x v="0"/>
    <x v="52"/>
    <x v="8"/>
    <x v="1"/>
  </r>
  <r>
    <x v="242"/>
    <x v="241"/>
    <x v="0"/>
    <x v="4"/>
    <x v="0"/>
    <x v="2"/>
    <x v="2"/>
    <x v="1"/>
    <x v="90"/>
    <x v="5"/>
    <x v="1"/>
  </r>
  <r>
    <x v="243"/>
    <x v="242"/>
    <x v="0"/>
    <x v="4"/>
    <x v="2"/>
    <x v="0"/>
    <x v="0"/>
    <x v="1"/>
    <x v="34"/>
    <x v="8"/>
    <x v="0"/>
  </r>
  <r>
    <x v="244"/>
    <x v="243"/>
    <x v="0"/>
    <x v="3"/>
    <x v="2"/>
    <x v="2"/>
    <x v="1"/>
    <x v="1"/>
    <x v="22"/>
    <x v="5"/>
    <x v="1"/>
  </r>
  <r>
    <x v="245"/>
    <x v="244"/>
    <x v="0"/>
    <x v="4"/>
    <x v="0"/>
    <x v="0"/>
    <x v="0"/>
    <x v="1"/>
    <x v="13"/>
    <x v="7"/>
    <x v="0"/>
  </r>
  <r>
    <x v="246"/>
    <x v="245"/>
    <x v="0"/>
    <x v="4"/>
    <x v="3"/>
    <x v="0"/>
    <x v="2"/>
    <x v="0"/>
    <x v="81"/>
    <x v="7"/>
    <x v="1"/>
  </r>
  <r>
    <x v="247"/>
    <x v="246"/>
    <x v="0"/>
    <x v="1"/>
    <x v="2"/>
    <x v="3"/>
    <x v="4"/>
    <x v="0"/>
    <x v="83"/>
    <x v="5"/>
    <x v="1"/>
  </r>
  <r>
    <x v="248"/>
    <x v="247"/>
    <x v="1"/>
    <x v="3"/>
    <x v="0"/>
    <x v="2"/>
    <x v="0"/>
    <x v="0"/>
    <x v="68"/>
    <x v="1"/>
    <x v="0"/>
  </r>
  <r>
    <x v="249"/>
    <x v="248"/>
    <x v="0"/>
    <x v="4"/>
    <x v="3"/>
    <x v="2"/>
    <x v="2"/>
    <x v="0"/>
    <x v="83"/>
    <x v="3"/>
    <x v="1"/>
  </r>
  <r>
    <x v="250"/>
    <x v="249"/>
    <x v="1"/>
    <x v="4"/>
    <x v="2"/>
    <x v="0"/>
    <x v="1"/>
    <x v="0"/>
    <x v="70"/>
    <x v="9"/>
    <x v="0"/>
  </r>
  <r>
    <x v="251"/>
    <x v="250"/>
    <x v="1"/>
    <x v="1"/>
    <x v="0"/>
    <x v="0"/>
    <x v="4"/>
    <x v="0"/>
    <x v="73"/>
    <x v="5"/>
    <x v="0"/>
  </r>
  <r>
    <x v="252"/>
    <x v="251"/>
    <x v="1"/>
    <x v="1"/>
    <x v="0"/>
    <x v="1"/>
    <x v="1"/>
    <x v="0"/>
    <x v="19"/>
    <x v="0"/>
    <x v="0"/>
  </r>
  <r>
    <x v="253"/>
    <x v="252"/>
    <x v="0"/>
    <x v="1"/>
    <x v="2"/>
    <x v="1"/>
    <x v="3"/>
    <x v="0"/>
    <x v="4"/>
    <x v="0"/>
    <x v="0"/>
  </r>
  <r>
    <x v="254"/>
    <x v="253"/>
    <x v="0"/>
    <x v="3"/>
    <x v="1"/>
    <x v="3"/>
    <x v="0"/>
    <x v="1"/>
    <x v="79"/>
    <x v="2"/>
    <x v="1"/>
  </r>
  <r>
    <x v="255"/>
    <x v="254"/>
    <x v="1"/>
    <x v="0"/>
    <x v="4"/>
    <x v="3"/>
    <x v="2"/>
    <x v="1"/>
    <x v="37"/>
    <x v="2"/>
    <x v="1"/>
  </r>
  <r>
    <x v="256"/>
    <x v="255"/>
    <x v="0"/>
    <x v="1"/>
    <x v="3"/>
    <x v="2"/>
    <x v="1"/>
    <x v="1"/>
    <x v="68"/>
    <x v="8"/>
    <x v="0"/>
  </r>
  <r>
    <x v="257"/>
    <x v="256"/>
    <x v="0"/>
    <x v="4"/>
    <x v="1"/>
    <x v="1"/>
    <x v="4"/>
    <x v="0"/>
    <x v="44"/>
    <x v="8"/>
    <x v="0"/>
  </r>
  <r>
    <x v="258"/>
    <x v="257"/>
    <x v="0"/>
    <x v="0"/>
    <x v="3"/>
    <x v="1"/>
    <x v="1"/>
    <x v="0"/>
    <x v="70"/>
    <x v="8"/>
    <x v="0"/>
  </r>
  <r>
    <x v="259"/>
    <x v="258"/>
    <x v="0"/>
    <x v="2"/>
    <x v="2"/>
    <x v="3"/>
    <x v="0"/>
    <x v="1"/>
    <x v="3"/>
    <x v="4"/>
    <x v="1"/>
  </r>
  <r>
    <x v="260"/>
    <x v="259"/>
    <x v="1"/>
    <x v="1"/>
    <x v="0"/>
    <x v="3"/>
    <x v="0"/>
    <x v="0"/>
    <x v="48"/>
    <x v="9"/>
    <x v="1"/>
  </r>
  <r>
    <x v="261"/>
    <x v="260"/>
    <x v="1"/>
    <x v="3"/>
    <x v="4"/>
    <x v="3"/>
    <x v="1"/>
    <x v="1"/>
    <x v="79"/>
    <x v="0"/>
    <x v="1"/>
  </r>
  <r>
    <x v="262"/>
    <x v="261"/>
    <x v="1"/>
    <x v="1"/>
    <x v="0"/>
    <x v="3"/>
    <x v="2"/>
    <x v="1"/>
    <x v="69"/>
    <x v="1"/>
    <x v="0"/>
  </r>
  <r>
    <x v="263"/>
    <x v="262"/>
    <x v="0"/>
    <x v="3"/>
    <x v="0"/>
    <x v="1"/>
    <x v="2"/>
    <x v="1"/>
    <x v="81"/>
    <x v="1"/>
    <x v="1"/>
  </r>
  <r>
    <x v="264"/>
    <x v="263"/>
    <x v="0"/>
    <x v="0"/>
    <x v="2"/>
    <x v="2"/>
    <x v="1"/>
    <x v="0"/>
    <x v="79"/>
    <x v="1"/>
    <x v="1"/>
  </r>
  <r>
    <x v="265"/>
    <x v="264"/>
    <x v="0"/>
    <x v="0"/>
    <x v="1"/>
    <x v="1"/>
    <x v="0"/>
    <x v="1"/>
    <x v="21"/>
    <x v="2"/>
    <x v="0"/>
  </r>
  <r>
    <x v="266"/>
    <x v="265"/>
    <x v="0"/>
    <x v="4"/>
    <x v="1"/>
    <x v="1"/>
    <x v="0"/>
    <x v="1"/>
    <x v="51"/>
    <x v="1"/>
    <x v="1"/>
  </r>
  <r>
    <x v="267"/>
    <x v="266"/>
    <x v="1"/>
    <x v="4"/>
    <x v="1"/>
    <x v="2"/>
    <x v="2"/>
    <x v="1"/>
    <x v="56"/>
    <x v="1"/>
    <x v="0"/>
  </r>
  <r>
    <x v="268"/>
    <x v="267"/>
    <x v="1"/>
    <x v="2"/>
    <x v="4"/>
    <x v="2"/>
    <x v="1"/>
    <x v="0"/>
    <x v="32"/>
    <x v="0"/>
    <x v="1"/>
  </r>
  <r>
    <x v="269"/>
    <x v="268"/>
    <x v="1"/>
    <x v="0"/>
    <x v="2"/>
    <x v="2"/>
    <x v="3"/>
    <x v="1"/>
    <x v="21"/>
    <x v="9"/>
    <x v="0"/>
  </r>
  <r>
    <x v="270"/>
    <x v="269"/>
    <x v="1"/>
    <x v="1"/>
    <x v="2"/>
    <x v="3"/>
    <x v="4"/>
    <x v="0"/>
    <x v="99"/>
    <x v="8"/>
    <x v="1"/>
  </r>
  <r>
    <x v="271"/>
    <x v="270"/>
    <x v="1"/>
    <x v="3"/>
    <x v="0"/>
    <x v="2"/>
    <x v="0"/>
    <x v="1"/>
    <x v="40"/>
    <x v="6"/>
    <x v="1"/>
  </r>
  <r>
    <x v="272"/>
    <x v="271"/>
    <x v="0"/>
    <x v="3"/>
    <x v="2"/>
    <x v="2"/>
    <x v="4"/>
    <x v="0"/>
    <x v="40"/>
    <x v="7"/>
    <x v="1"/>
  </r>
  <r>
    <x v="273"/>
    <x v="272"/>
    <x v="0"/>
    <x v="1"/>
    <x v="4"/>
    <x v="3"/>
    <x v="1"/>
    <x v="1"/>
    <x v="17"/>
    <x v="6"/>
    <x v="0"/>
  </r>
  <r>
    <x v="274"/>
    <x v="273"/>
    <x v="0"/>
    <x v="2"/>
    <x v="3"/>
    <x v="3"/>
    <x v="1"/>
    <x v="0"/>
    <x v="6"/>
    <x v="8"/>
    <x v="0"/>
  </r>
  <r>
    <x v="275"/>
    <x v="274"/>
    <x v="0"/>
    <x v="1"/>
    <x v="0"/>
    <x v="2"/>
    <x v="2"/>
    <x v="0"/>
    <x v="89"/>
    <x v="1"/>
    <x v="1"/>
  </r>
  <r>
    <x v="276"/>
    <x v="275"/>
    <x v="1"/>
    <x v="2"/>
    <x v="4"/>
    <x v="0"/>
    <x v="4"/>
    <x v="0"/>
    <x v="8"/>
    <x v="0"/>
    <x v="0"/>
  </r>
  <r>
    <x v="277"/>
    <x v="276"/>
    <x v="0"/>
    <x v="3"/>
    <x v="1"/>
    <x v="2"/>
    <x v="2"/>
    <x v="0"/>
    <x v="27"/>
    <x v="4"/>
    <x v="0"/>
  </r>
  <r>
    <x v="278"/>
    <x v="277"/>
    <x v="1"/>
    <x v="1"/>
    <x v="1"/>
    <x v="0"/>
    <x v="2"/>
    <x v="1"/>
    <x v="88"/>
    <x v="2"/>
    <x v="0"/>
  </r>
  <r>
    <x v="279"/>
    <x v="278"/>
    <x v="1"/>
    <x v="1"/>
    <x v="0"/>
    <x v="3"/>
    <x v="1"/>
    <x v="0"/>
    <x v="22"/>
    <x v="3"/>
    <x v="1"/>
  </r>
  <r>
    <x v="280"/>
    <x v="279"/>
    <x v="0"/>
    <x v="3"/>
    <x v="4"/>
    <x v="1"/>
    <x v="4"/>
    <x v="1"/>
    <x v="60"/>
    <x v="6"/>
    <x v="1"/>
  </r>
  <r>
    <x v="281"/>
    <x v="280"/>
    <x v="0"/>
    <x v="2"/>
    <x v="0"/>
    <x v="2"/>
    <x v="3"/>
    <x v="1"/>
    <x v="27"/>
    <x v="5"/>
    <x v="0"/>
  </r>
  <r>
    <x v="282"/>
    <x v="281"/>
    <x v="1"/>
    <x v="1"/>
    <x v="4"/>
    <x v="1"/>
    <x v="3"/>
    <x v="0"/>
    <x v="21"/>
    <x v="4"/>
    <x v="0"/>
  </r>
  <r>
    <x v="283"/>
    <x v="282"/>
    <x v="0"/>
    <x v="0"/>
    <x v="4"/>
    <x v="0"/>
    <x v="2"/>
    <x v="1"/>
    <x v="3"/>
    <x v="0"/>
    <x v="1"/>
  </r>
  <r>
    <x v="284"/>
    <x v="283"/>
    <x v="1"/>
    <x v="3"/>
    <x v="4"/>
    <x v="0"/>
    <x v="0"/>
    <x v="1"/>
    <x v="68"/>
    <x v="2"/>
    <x v="0"/>
  </r>
  <r>
    <x v="285"/>
    <x v="284"/>
    <x v="1"/>
    <x v="3"/>
    <x v="4"/>
    <x v="1"/>
    <x v="4"/>
    <x v="0"/>
    <x v="95"/>
    <x v="8"/>
    <x v="1"/>
  </r>
  <r>
    <x v="286"/>
    <x v="285"/>
    <x v="1"/>
    <x v="0"/>
    <x v="2"/>
    <x v="1"/>
    <x v="0"/>
    <x v="1"/>
    <x v="96"/>
    <x v="1"/>
    <x v="0"/>
  </r>
  <r>
    <x v="287"/>
    <x v="286"/>
    <x v="0"/>
    <x v="1"/>
    <x v="3"/>
    <x v="1"/>
    <x v="4"/>
    <x v="0"/>
    <x v="14"/>
    <x v="6"/>
    <x v="1"/>
  </r>
  <r>
    <x v="288"/>
    <x v="287"/>
    <x v="0"/>
    <x v="2"/>
    <x v="0"/>
    <x v="2"/>
    <x v="2"/>
    <x v="0"/>
    <x v="91"/>
    <x v="7"/>
    <x v="0"/>
  </r>
  <r>
    <x v="289"/>
    <x v="288"/>
    <x v="1"/>
    <x v="3"/>
    <x v="0"/>
    <x v="3"/>
    <x v="1"/>
    <x v="1"/>
    <x v="82"/>
    <x v="1"/>
    <x v="1"/>
  </r>
  <r>
    <x v="290"/>
    <x v="289"/>
    <x v="0"/>
    <x v="2"/>
    <x v="1"/>
    <x v="2"/>
    <x v="0"/>
    <x v="1"/>
    <x v="97"/>
    <x v="2"/>
    <x v="0"/>
  </r>
  <r>
    <x v="291"/>
    <x v="290"/>
    <x v="1"/>
    <x v="3"/>
    <x v="2"/>
    <x v="3"/>
    <x v="0"/>
    <x v="0"/>
    <x v="89"/>
    <x v="3"/>
    <x v="1"/>
  </r>
  <r>
    <x v="292"/>
    <x v="291"/>
    <x v="0"/>
    <x v="2"/>
    <x v="2"/>
    <x v="2"/>
    <x v="4"/>
    <x v="0"/>
    <x v="7"/>
    <x v="2"/>
    <x v="1"/>
  </r>
  <r>
    <x v="293"/>
    <x v="292"/>
    <x v="1"/>
    <x v="4"/>
    <x v="3"/>
    <x v="3"/>
    <x v="3"/>
    <x v="1"/>
    <x v="7"/>
    <x v="4"/>
    <x v="1"/>
  </r>
  <r>
    <x v="294"/>
    <x v="293"/>
    <x v="0"/>
    <x v="2"/>
    <x v="3"/>
    <x v="1"/>
    <x v="4"/>
    <x v="1"/>
    <x v="43"/>
    <x v="5"/>
    <x v="0"/>
  </r>
  <r>
    <x v="295"/>
    <x v="294"/>
    <x v="0"/>
    <x v="2"/>
    <x v="3"/>
    <x v="1"/>
    <x v="3"/>
    <x v="1"/>
    <x v="91"/>
    <x v="3"/>
    <x v="0"/>
  </r>
  <r>
    <x v="296"/>
    <x v="295"/>
    <x v="1"/>
    <x v="2"/>
    <x v="0"/>
    <x v="2"/>
    <x v="0"/>
    <x v="0"/>
    <x v="87"/>
    <x v="9"/>
    <x v="0"/>
  </r>
  <r>
    <x v="297"/>
    <x v="296"/>
    <x v="1"/>
    <x v="3"/>
    <x v="4"/>
    <x v="2"/>
    <x v="3"/>
    <x v="0"/>
    <x v="13"/>
    <x v="9"/>
    <x v="0"/>
  </r>
  <r>
    <x v="298"/>
    <x v="297"/>
    <x v="0"/>
    <x v="4"/>
    <x v="0"/>
    <x v="2"/>
    <x v="3"/>
    <x v="0"/>
    <x v="34"/>
    <x v="5"/>
    <x v="0"/>
  </r>
  <r>
    <x v="299"/>
    <x v="298"/>
    <x v="1"/>
    <x v="0"/>
    <x v="1"/>
    <x v="0"/>
    <x v="2"/>
    <x v="1"/>
    <x v="14"/>
    <x v="7"/>
    <x v="1"/>
  </r>
  <r>
    <x v="300"/>
    <x v="299"/>
    <x v="1"/>
    <x v="1"/>
    <x v="2"/>
    <x v="3"/>
    <x v="2"/>
    <x v="0"/>
    <x v="65"/>
    <x v="7"/>
    <x v="1"/>
  </r>
  <r>
    <x v="301"/>
    <x v="300"/>
    <x v="0"/>
    <x v="4"/>
    <x v="2"/>
    <x v="3"/>
    <x v="3"/>
    <x v="1"/>
    <x v="75"/>
    <x v="5"/>
    <x v="0"/>
  </r>
  <r>
    <x v="302"/>
    <x v="301"/>
    <x v="1"/>
    <x v="4"/>
    <x v="2"/>
    <x v="2"/>
    <x v="1"/>
    <x v="1"/>
    <x v="91"/>
    <x v="3"/>
    <x v="0"/>
  </r>
  <r>
    <x v="303"/>
    <x v="302"/>
    <x v="0"/>
    <x v="1"/>
    <x v="2"/>
    <x v="3"/>
    <x v="2"/>
    <x v="0"/>
    <x v="87"/>
    <x v="0"/>
    <x v="0"/>
  </r>
  <r>
    <x v="304"/>
    <x v="303"/>
    <x v="0"/>
    <x v="2"/>
    <x v="1"/>
    <x v="3"/>
    <x v="2"/>
    <x v="1"/>
    <x v="45"/>
    <x v="4"/>
    <x v="0"/>
  </r>
  <r>
    <x v="305"/>
    <x v="304"/>
    <x v="0"/>
    <x v="0"/>
    <x v="0"/>
    <x v="0"/>
    <x v="1"/>
    <x v="1"/>
    <x v="42"/>
    <x v="9"/>
    <x v="1"/>
  </r>
  <r>
    <x v="306"/>
    <x v="305"/>
    <x v="0"/>
    <x v="2"/>
    <x v="1"/>
    <x v="3"/>
    <x v="0"/>
    <x v="0"/>
    <x v="62"/>
    <x v="7"/>
    <x v="1"/>
  </r>
  <r>
    <x v="307"/>
    <x v="306"/>
    <x v="0"/>
    <x v="4"/>
    <x v="1"/>
    <x v="1"/>
    <x v="4"/>
    <x v="0"/>
    <x v="18"/>
    <x v="8"/>
    <x v="0"/>
  </r>
  <r>
    <x v="308"/>
    <x v="307"/>
    <x v="1"/>
    <x v="3"/>
    <x v="1"/>
    <x v="0"/>
    <x v="4"/>
    <x v="0"/>
    <x v="89"/>
    <x v="1"/>
    <x v="1"/>
  </r>
  <r>
    <x v="309"/>
    <x v="308"/>
    <x v="1"/>
    <x v="0"/>
    <x v="1"/>
    <x v="3"/>
    <x v="0"/>
    <x v="1"/>
    <x v="91"/>
    <x v="2"/>
    <x v="0"/>
  </r>
  <r>
    <x v="310"/>
    <x v="309"/>
    <x v="0"/>
    <x v="2"/>
    <x v="1"/>
    <x v="3"/>
    <x v="1"/>
    <x v="0"/>
    <x v="62"/>
    <x v="0"/>
    <x v="1"/>
  </r>
  <r>
    <x v="311"/>
    <x v="310"/>
    <x v="1"/>
    <x v="2"/>
    <x v="0"/>
    <x v="0"/>
    <x v="3"/>
    <x v="1"/>
    <x v="92"/>
    <x v="1"/>
    <x v="1"/>
  </r>
  <r>
    <x v="312"/>
    <x v="311"/>
    <x v="0"/>
    <x v="3"/>
    <x v="4"/>
    <x v="2"/>
    <x v="3"/>
    <x v="0"/>
    <x v="23"/>
    <x v="0"/>
    <x v="0"/>
  </r>
  <r>
    <x v="313"/>
    <x v="312"/>
    <x v="1"/>
    <x v="1"/>
    <x v="4"/>
    <x v="0"/>
    <x v="1"/>
    <x v="0"/>
    <x v="90"/>
    <x v="7"/>
    <x v="1"/>
  </r>
  <r>
    <x v="314"/>
    <x v="313"/>
    <x v="0"/>
    <x v="0"/>
    <x v="4"/>
    <x v="2"/>
    <x v="4"/>
    <x v="1"/>
    <x v="29"/>
    <x v="8"/>
    <x v="0"/>
  </r>
  <r>
    <x v="315"/>
    <x v="314"/>
    <x v="0"/>
    <x v="1"/>
    <x v="3"/>
    <x v="1"/>
    <x v="2"/>
    <x v="0"/>
    <x v="13"/>
    <x v="5"/>
    <x v="0"/>
  </r>
  <r>
    <x v="316"/>
    <x v="315"/>
    <x v="0"/>
    <x v="4"/>
    <x v="4"/>
    <x v="3"/>
    <x v="0"/>
    <x v="0"/>
    <x v="51"/>
    <x v="0"/>
    <x v="1"/>
  </r>
  <r>
    <x v="317"/>
    <x v="316"/>
    <x v="0"/>
    <x v="1"/>
    <x v="4"/>
    <x v="0"/>
    <x v="0"/>
    <x v="0"/>
    <x v="30"/>
    <x v="2"/>
    <x v="1"/>
  </r>
  <r>
    <x v="318"/>
    <x v="317"/>
    <x v="1"/>
    <x v="4"/>
    <x v="2"/>
    <x v="3"/>
    <x v="2"/>
    <x v="1"/>
    <x v="10"/>
    <x v="3"/>
    <x v="0"/>
  </r>
  <r>
    <x v="319"/>
    <x v="318"/>
    <x v="0"/>
    <x v="2"/>
    <x v="4"/>
    <x v="2"/>
    <x v="2"/>
    <x v="0"/>
    <x v="45"/>
    <x v="5"/>
    <x v="0"/>
  </r>
  <r>
    <x v="320"/>
    <x v="319"/>
    <x v="0"/>
    <x v="4"/>
    <x v="4"/>
    <x v="0"/>
    <x v="4"/>
    <x v="0"/>
    <x v="72"/>
    <x v="4"/>
    <x v="0"/>
  </r>
  <r>
    <x v="321"/>
    <x v="320"/>
    <x v="0"/>
    <x v="3"/>
    <x v="3"/>
    <x v="2"/>
    <x v="1"/>
    <x v="0"/>
    <x v="59"/>
    <x v="4"/>
    <x v="0"/>
  </r>
  <r>
    <x v="322"/>
    <x v="321"/>
    <x v="0"/>
    <x v="0"/>
    <x v="3"/>
    <x v="1"/>
    <x v="3"/>
    <x v="0"/>
    <x v="40"/>
    <x v="9"/>
    <x v="1"/>
  </r>
  <r>
    <x v="323"/>
    <x v="322"/>
    <x v="1"/>
    <x v="2"/>
    <x v="0"/>
    <x v="0"/>
    <x v="2"/>
    <x v="0"/>
    <x v="5"/>
    <x v="4"/>
    <x v="1"/>
  </r>
  <r>
    <x v="324"/>
    <x v="323"/>
    <x v="0"/>
    <x v="2"/>
    <x v="0"/>
    <x v="3"/>
    <x v="4"/>
    <x v="1"/>
    <x v="89"/>
    <x v="9"/>
    <x v="1"/>
  </r>
  <r>
    <x v="325"/>
    <x v="324"/>
    <x v="0"/>
    <x v="1"/>
    <x v="4"/>
    <x v="3"/>
    <x v="3"/>
    <x v="0"/>
    <x v="39"/>
    <x v="3"/>
    <x v="0"/>
  </r>
  <r>
    <x v="326"/>
    <x v="325"/>
    <x v="0"/>
    <x v="2"/>
    <x v="3"/>
    <x v="2"/>
    <x v="1"/>
    <x v="0"/>
    <x v="77"/>
    <x v="8"/>
    <x v="1"/>
  </r>
  <r>
    <x v="327"/>
    <x v="326"/>
    <x v="1"/>
    <x v="0"/>
    <x v="0"/>
    <x v="2"/>
    <x v="2"/>
    <x v="1"/>
    <x v="44"/>
    <x v="2"/>
    <x v="0"/>
  </r>
  <r>
    <x v="328"/>
    <x v="327"/>
    <x v="1"/>
    <x v="4"/>
    <x v="0"/>
    <x v="0"/>
    <x v="3"/>
    <x v="0"/>
    <x v="33"/>
    <x v="3"/>
    <x v="1"/>
  </r>
  <r>
    <x v="329"/>
    <x v="328"/>
    <x v="0"/>
    <x v="2"/>
    <x v="1"/>
    <x v="0"/>
    <x v="1"/>
    <x v="1"/>
    <x v="20"/>
    <x v="9"/>
    <x v="0"/>
  </r>
  <r>
    <x v="330"/>
    <x v="329"/>
    <x v="0"/>
    <x v="2"/>
    <x v="1"/>
    <x v="2"/>
    <x v="3"/>
    <x v="1"/>
    <x v="7"/>
    <x v="5"/>
    <x v="1"/>
  </r>
  <r>
    <x v="331"/>
    <x v="330"/>
    <x v="0"/>
    <x v="2"/>
    <x v="2"/>
    <x v="2"/>
    <x v="3"/>
    <x v="1"/>
    <x v="74"/>
    <x v="5"/>
    <x v="0"/>
  </r>
  <r>
    <x v="332"/>
    <x v="331"/>
    <x v="0"/>
    <x v="4"/>
    <x v="2"/>
    <x v="0"/>
    <x v="0"/>
    <x v="0"/>
    <x v="79"/>
    <x v="3"/>
    <x v="1"/>
  </r>
  <r>
    <x v="333"/>
    <x v="332"/>
    <x v="0"/>
    <x v="3"/>
    <x v="1"/>
    <x v="1"/>
    <x v="3"/>
    <x v="1"/>
    <x v="83"/>
    <x v="3"/>
    <x v="1"/>
  </r>
  <r>
    <x v="334"/>
    <x v="333"/>
    <x v="1"/>
    <x v="4"/>
    <x v="3"/>
    <x v="1"/>
    <x v="0"/>
    <x v="0"/>
    <x v="28"/>
    <x v="7"/>
    <x v="1"/>
  </r>
  <r>
    <x v="335"/>
    <x v="334"/>
    <x v="1"/>
    <x v="3"/>
    <x v="0"/>
    <x v="0"/>
    <x v="2"/>
    <x v="0"/>
    <x v="62"/>
    <x v="7"/>
    <x v="1"/>
  </r>
  <r>
    <x v="336"/>
    <x v="335"/>
    <x v="1"/>
    <x v="0"/>
    <x v="3"/>
    <x v="1"/>
    <x v="2"/>
    <x v="1"/>
    <x v="86"/>
    <x v="1"/>
    <x v="1"/>
  </r>
  <r>
    <x v="337"/>
    <x v="336"/>
    <x v="0"/>
    <x v="3"/>
    <x v="1"/>
    <x v="3"/>
    <x v="0"/>
    <x v="1"/>
    <x v="4"/>
    <x v="2"/>
    <x v="0"/>
  </r>
  <r>
    <x v="338"/>
    <x v="337"/>
    <x v="1"/>
    <x v="4"/>
    <x v="2"/>
    <x v="0"/>
    <x v="4"/>
    <x v="1"/>
    <x v="48"/>
    <x v="7"/>
    <x v="1"/>
  </r>
  <r>
    <x v="339"/>
    <x v="338"/>
    <x v="0"/>
    <x v="0"/>
    <x v="4"/>
    <x v="0"/>
    <x v="0"/>
    <x v="1"/>
    <x v="35"/>
    <x v="8"/>
    <x v="0"/>
  </r>
  <r>
    <x v="340"/>
    <x v="339"/>
    <x v="0"/>
    <x v="1"/>
    <x v="1"/>
    <x v="3"/>
    <x v="3"/>
    <x v="1"/>
    <x v="0"/>
    <x v="3"/>
    <x v="0"/>
  </r>
  <r>
    <x v="341"/>
    <x v="340"/>
    <x v="1"/>
    <x v="3"/>
    <x v="3"/>
    <x v="0"/>
    <x v="1"/>
    <x v="0"/>
    <x v="94"/>
    <x v="7"/>
    <x v="1"/>
  </r>
  <r>
    <x v="342"/>
    <x v="341"/>
    <x v="0"/>
    <x v="0"/>
    <x v="3"/>
    <x v="3"/>
    <x v="3"/>
    <x v="1"/>
    <x v="2"/>
    <x v="7"/>
    <x v="1"/>
  </r>
  <r>
    <x v="343"/>
    <x v="342"/>
    <x v="1"/>
    <x v="3"/>
    <x v="4"/>
    <x v="3"/>
    <x v="2"/>
    <x v="1"/>
    <x v="6"/>
    <x v="7"/>
    <x v="0"/>
  </r>
  <r>
    <x v="344"/>
    <x v="343"/>
    <x v="0"/>
    <x v="1"/>
    <x v="3"/>
    <x v="0"/>
    <x v="3"/>
    <x v="1"/>
    <x v="42"/>
    <x v="1"/>
    <x v="1"/>
  </r>
  <r>
    <x v="345"/>
    <x v="344"/>
    <x v="1"/>
    <x v="0"/>
    <x v="2"/>
    <x v="3"/>
    <x v="1"/>
    <x v="0"/>
    <x v="10"/>
    <x v="0"/>
    <x v="0"/>
  </r>
  <r>
    <x v="346"/>
    <x v="345"/>
    <x v="0"/>
    <x v="3"/>
    <x v="1"/>
    <x v="0"/>
    <x v="2"/>
    <x v="0"/>
    <x v="48"/>
    <x v="1"/>
    <x v="1"/>
  </r>
  <r>
    <x v="347"/>
    <x v="346"/>
    <x v="1"/>
    <x v="1"/>
    <x v="2"/>
    <x v="0"/>
    <x v="4"/>
    <x v="0"/>
    <x v="34"/>
    <x v="3"/>
    <x v="0"/>
  </r>
  <r>
    <x v="348"/>
    <x v="347"/>
    <x v="1"/>
    <x v="2"/>
    <x v="1"/>
    <x v="0"/>
    <x v="0"/>
    <x v="1"/>
    <x v="69"/>
    <x v="5"/>
    <x v="0"/>
  </r>
  <r>
    <x v="349"/>
    <x v="348"/>
    <x v="1"/>
    <x v="0"/>
    <x v="0"/>
    <x v="3"/>
    <x v="4"/>
    <x v="1"/>
    <x v="25"/>
    <x v="9"/>
    <x v="1"/>
  </r>
  <r>
    <x v="350"/>
    <x v="349"/>
    <x v="0"/>
    <x v="1"/>
    <x v="2"/>
    <x v="2"/>
    <x v="0"/>
    <x v="0"/>
    <x v="10"/>
    <x v="4"/>
    <x v="0"/>
  </r>
  <r>
    <x v="351"/>
    <x v="350"/>
    <x v="0"/>
    <x v="1"/>
    <x v="1"/>
    <x v="3"/>
    <x v="4"/>
    <x v="1"/>
    <x v="30"/>
    <x v="8"/>
    <x v="1"/>
  </r>
  <r>
    <x v="352"/>
    <x v="351"/>
    <x v="1"/>
    <x v="2"/>
    <x v="1"/>
    <x v="0"/>
    <x v="2"/>
    <x v="0"/>
    <x v="66"/>
    <x v="8"/>
    <x v="0"/>
  </r>
  <r>
    <x v="353"/>
    <x v="352"/>
    <x v="0"/>
    <x v="2"/>
    <x v="0"/>
    <x v="3"/>
    <x v="4"/>
    <x v="1"/>
    <x v="80"/>
    <x v="2"/>
    <x v="1"/>
  </r>
  <r>
    <x v="354"/>
    <x v="353"/>
    <x v="0"/>
    <x v="4"/>
    <x v="1"/>
    <x v="2"/>
    <x v="3"/>
    <x v="1"/>
    <x v="97"/>
    <x v="3"/>
    <x v="0"/>
  </r>
  <r>
    <x v="355"/>
    <x v="354"/>
    <x v="0"/>
    <x v="0"/>
    <x v="4"/>
    <x v="1"/>
    <x v="0"/>
    <x v="0"/>
    <x v="82"/>
    <x v="3"/>
    <x v="1"/>
  </r>
  <r>
    <x v="356"/>
    <x v="355"/>
    <x v="0"/>
    <x v="4"/>
    <x v="3"/>
    <x v="1"/>
    <x v="2"/>
    <x v="0"/>
    <x v="75"/>
    <x v="9"/>
    <x v="0"/>
  </r>
  <r>
    <x v="357"/>
    <x v="356"/>
    <x v="0"/>
    <x v="1"/>
    <x v="0"/>
    <x v="3"/>
    <x v="3"/>
    <x v="0"/>
    <x v="14"/>
    <x v="2"/>
    <x v="1"/>
  </r>
  <r>
    <x v="358"/>
    <x v="357"/>
    <x v="0"/>
    <x v="3"/>
    <x v="0"/>
    <x v="2"/>
    <x v="3"/>
    <x v="0"/>
    <x v="61"/>
    <x v="6"/>
    <x v="0"/>
  </r>
  <r>
    <x v="359"/>
    <x v="358"/>
    <x v="0"/>
    <x v="1"/>
    <x v="2"/>
    <x v="0"/>
    <x v="2"/>
    <x v="1"/>
    <x v="67"/>
    <x v="5"/>
    <x v="0"/>
  </r>
  <r>
    <x v="360"/>
    <x v="359"/>
    <x v="0"/>
    <x v="0"/>
    <x v="1"/>
    <x v="1"/>
    <x v="0"/>
    <x v="0"/>
    <x v="57"/>
    <x v="5"/>
    <x v="0"/>
  </r>
  <r>
    <x v="361"/>
    <x v="360"/>
    <x v="1"/>
    <x v="2"/>
    <x v="2"/>
    <x v="2"/>
    <x v="3"/>
    <x v="1"/>
    <x v="52"/>
    <x v="8"/>
    <x v="1"/>
  </r>
  <r>
    <x v="362"/>
    <x v="361"/>
    <x v="0"/>
    <x v="4"/>
    <x v="1"/>
    <x v="3"/>
    <x v="2"/>
    <x v="1"/>
    <x v="80"/>
    <x v="3"/>
    <x v="1"/>
  </r>
  <r>
    <x v="363"/>
    <x v="362"/>
    <x v="0"/>
    <x v="3"/>
    <x v="1"/>
    <x v="3"/>
    <x v="3"/>
    <x v="0"/>
    <x v="58"/>
    <x v="9"/>
    <x v="1"/>
  </r>
  <r>
    <x v="364"/>
    <x v="363"/>
    <x v="1"/>
    <x v="3"/>
    <x v="3"/>
    <x v="0"/>
    <x v="0"/>
    <x v="0"/>
    <x v="52"/>
    <x v="7"/>
    <x v="1"/>
  </r>
  <r>
    <x v="365"/>
    <x v="364"/>
    <x v="0"/>
    <x v="3"/>
    <x v="0"/>
    <x v="1"/>
    <x v="2"/>
    <x v="0"/>
    <x v="1"/>
    <x v="8"/>
    <x v="1"/>
  </r>
  <r>
    <x v="366"/>
    <x v="365"/>
    <x v="0"/>
    <x v="4"/>
    <x v="4"/>
    <x v="2"/>
    <x v="4"/>
    <x v="1"/>
    <x v="21"/>
    <x v="8"/>
    <x v="0"/>
  </r>
  <r>
    <x v="367"/>
    <x v="366"/>
    <x v="1"/>
    <x v="1"/>
    <x v="4"/>
    <x v="0"/>
    <x v="1"/>
    <x v="1"/>
    <x v="98"/>
    <x v="1"/>
    <x v="1"/>
  </r>
  <r>
    <x v="368"/>
    <x v="367"/>
    <x v="1"/>
    <x v="4"/>
    <x v="2"/>
    <x v="1"/>
    <x v="2"/>
    <x v="1"/>
    <x v="48"/>
    <x v="8"/>
    <x v="1"/>
  </r>
  <r>
    <x v="369"/>
    <x v="368"/>
    <x v="0"/>
    <x v="3"/>
    <x v="1"/>
    <x v="3"/>
    <x v="0"/>
    <x v="1"/>
    <x v="51"/>
    <x v="1"/>
    <x v="1"/>
  </r>
  <r>
    <x v="370"/>
    <x v="369"/>
    <x v="0"/>
    <x v="1"/>
    <x v="0"/>
    <x v="0"/>
    <x v="4"/>
    <x v="1"/>
    <x v="62"/>
    <x v="9"/>
    <x v="1"/>
  </r>
  <r>
    <x v="371"/>
    <x v="370"/>
    <x v="1"/>
    <x v="1"/>
    <x v="0"/>
    <x v="0"/>
    <x v="2"/>
    <x v="1"/>
    <x v="43"/>
    <x v="6"/>
    <x v="0"/>
  </r>
  <r>
    <x v="372"/>
    <x v="371"/>
    <x v="1"/>
    <x v="0"/>
    <x v="4"/>
    <x v="3"/>
    <x v="3"/>
    <x v="1"/>
    <x v="99"/>
    <x v="4"/>
    <x v="1"/>
  </r>
  <r>
    <x v="373"/>
    <x v="372"/>
    <x v="0"/>
    <x v="2"/>
    <x v="3"/>
    <x v="3"/>
    <x v="0"/>
    <x v="1"/>
    <x v="9"/>
    <x v="8"/>
    <x v="1"/>
  </r>
  <r>
    <x v="374"/>
    <x v="373"/>
    <x v="1"/>
    <x v="2"/>
    <x v="0"/>
    <x v="0"/>
    <x v="0"/>
    <x v="0"/>
    <x v="74"/>
    <x v="0"/>
    <x v="0"/>
  </r>
  <r>
    <x v="375"/>
    <x v="374"/>
    <x v="0"/>
    <x v="0"/>
    <x v="0"/>
    <x v="3"/>
    <x v="0"/>
    <x v="1"/>
    <x v="16"/>
    <x v="0"/>
    <x v="1"/>
  </r>
  <r>
    <x v="376"/>
    <x v="375"/>
    <x v="1"/>
    <x v="1"/>
    <x v="2"/>
    <x v="2"/>
    <x v="2"/>
    <x v="1"/>
    <x v="13"/>
    <x v="2"/>
    <x v="0"/>
  </r>
  <r>
    <x v="377"/>
    <x v="376"/>
    <x v="0"/>
    <x v="1"/>
    <x v="1"/>
    <x v="1"/>
    <x v="0"/>
    <x v="1"/>
    <x v="17"/>
    <x v="1"/>
    <x v="0"/>
  </r>
  <r>
    <x v="378"/>
    <x v="377"/>
    <x v="1"/>
    <x v="3"/>
    <x v="2"/>
    <x v="2"/>
    <x v="1"/>
    <x v="0"/>
    <x v="2"/>
    <x v="0"/>
    <x v="1"/>
  </r>
  <r>
    <x v="379"/>
    <x v="378"/>
    <x v="0"/>
    <x v="0"/>
    <x v="0"/>
    <x v="2"/>
    <x v="4"/>
    <x v="0"/>
    <x v="90"/>
    <x v="1"/>
    <x v="1"/>
  </r>
  <r>
    <x v="380"/>
    <x v="379"/>
    <x v="0"/>
    <x v="1"/>
    <x v="3"/>
    <x v="3"/>
    <x v="2"/>
    <x v="0"/>
    <x v="53"/>
    <x v="1"/>
    <x v="0"/>
  </r>
  <r>
    <x v="381"/>
    <x v="380"/>
    <x v="1"/>
    <x v="4"/>
    <x v="4"/>
    <x v="0"/>
    <x v="4"/>
    <x v="0"/>
    <x v="89"/>
    <x v="9"/>
    <x v="1"/>
  </r>
  <r>
    <x v="382"/>
    <x v="381"/>
    <x v="0"/>
    <x v="0"/>
    <x v="3"/>
    <x v="2"/>
    <x v="3"/>
    <x v="1"/>
    <x v="30"/>
    <x v="6"/>
    <x v="1"/>
  </r>
  <r>
    <x v="383"/>
    <x v="382"/>
    <x v="1"/>
    <x v="1"/>
    <x v="3"/>
    <x v="1"/>
    <x v="0"/>
    <x v="0"/>
    <x v="82"/>
    <x v="3"/>
    <x v="1"/>
  </r>
  <r>
    <x v="384"/>
    <x v="383"/>
    <x v="1"/>
    <x v="4"/>
    <x v="0"/>
    <x v="0"/>
    <x v="4"/>
    <x v="0"/>
    <x v="15"/>
    <x v="5"/>
    <x v="1"/>
  </r>
  <r>
    <x v="385"/>
    <x v="384"/>
    <x v="1"/>
    <x v="0"/>
    <x v="1"/>
    <x v="3"/>
    <x v="1"/>
    <x v="1"/>
    <x v="74"/>
    <x v="4"/>
    <x v="0"/>
  </r>
  <r>
    <x v="386"/>
    <x v="385"/>
    <x v="1"/>
    <x v="3"/>
    <x v="0"/>
    <x v="2"/>
    <x v="2"/>
    <x v="0"/>
    <x v="0"/>
    <x v="7"/>
    <x v="0"/>
  </r>
  <r>
    <x v="387"/>
    <x v="386"/>
    <x v="0"/>
    <x v="0"/>
    <x v="0"/>
    <x v="2"/>
    <x v="2"/>
    <x v="0"/>
    <x v="73"/>
    <x v="3"/>
    <x v="0"/>
  </r>
  <r>
    <x v="388"/>
    <x v="387"/>
    <x v="0"/>
    <x v="2"/>
    <x v="1"/>
    <x v="0"/>
    <x v="3"/>
    <x v="0"/>
    <x v="100"/>
    <x v="5"/>
    <x v="0"/>
  </r>
  <r>
    <x v="389"/>
    <x v="388"/>
    <x v="1"/>
    <x v="4"/>
    <x v="1"/>
    <x v="3"/>
    <x v="3"/>
    <x v="0"/>
    <x v="82"/>
    <x v="0"/>
    <x v="1"/>
  </r>
  <r>
    <x v="390"/>
    <x v="389"/>
    <x v="0"/>
    <x v="4"/>
    <x v="0"/>
    <x v="3"/>
    <x v="3"/>
    <x v="1"/>
    <x v="3"/>
    <x v="6"/>
    <x v="1"/>
  </r>
  <r>
    <x v="391"/>
    <x v="390"/>
    <x v="0"/>
    <x v="1"/>
    <x v="2"/>
    <x v="0"/>
    <x v="1"/>
    <x v="1"/>
    <x v="38"/>
    <x v="8"/>
    <x v="0"/>
  </r>
  <r>
    <x v="392"/>
    <x v="391"/>
    <x v="1"/>
    <x v="1"/>
    <x v="0"/>
    <x v="1"/>
    <x v="2"/>
    <x v="1"/>
    <x v="60"/>
    <x v="4"/>
    <x v="1"/>
  </r>
  <r>
    <x v="393"/>
    <x v="392"/>
    <x v="0"/>
    <x v="4"/>
    <x v="3"/>
    <x v="1"/>
    <x v="0"/>
    <x v="1"/>
    <x v="96"/>
    <x v="9"/>
    <x v="0"/>
  </r>
  <r>
    <x v="394"/>
    <x v="393"/>
    <x v="1"/>
    <x v="2"/>
    <x v="1"/>
    <x v="3"/>
    <x v="2"/>
    <x v="1"/>
    <x v="53"/>
    <x v="7"/>
    <x v="0"/>
  </r>
  <r>
    <x v="395"/>
    <x v="394"/>
    <x v="1"/>
    <x v="1"/>
    <x v="3"/>
    <x v="2"/>
    <x v="4"/>
    <x v="1"/>
    <x v="90"/>
    <x v="8"/>
    <x v="1"/>
  </r>
  <r>
    <x v="396"/>
    <x v="395"/>
    <x v="0"/>
    <x v="2"/>
    <x v="1"/>
    <x v="3"/>
    <x v="3"/>
    <x v="0"/>
    <x v="57"/>
    <x v="5"/>
    <x v="0"/>
  </r>
  <r>
    <x v="397"/>
    <x v="396"/>
    <x v="0"/>
    <x v="3"/>
    <x v="0"/>
    <x v="0"/>
    <x v="3"/>
    <x v="1"/>
    <x v="92"/>
    <x v="7"/>
    <x v="1"/>
  </r>
  <r>
    <x v="398"/>
    <x v="397"/>
    <x v="0"/>
    <x v="4"/>
    <x v="1"/>
    <x v="3"/>
    <x v="2"/>
    <x v="1"/>
    <x v="14"/>
    <x v="6"/>
    <x v="1"/>
  </r>
  <r>
    <x v="399"/>
    <x v="398"/>
    <x v="1"/>
    <x v="0"/>
    <x v="2"/>
    <x v="0"/>
    <x v="3"/>
    <x v="1"/>
    <x v="7"/>
    <x v="4"/>
    <x v="1"/>
  </r>
  <r>
    <x v="400"/>
    <x v="399"/>
    <x v="0"/>
    <x v="1"/>
    <x v="1"/>
    <x v="3"/>
    <x v="3"/>
    <x v="0"/>
    <x v="93"/>
    <x v="4"/>
    <x v="1"/>
  </r>
  <r>
    <x v="401"/>
    <x v="400"/>
    <x v="0"/>
    <x v="2"/>
    <x v="3"/>
    <x v="2"/>
    <x v="4"/>
    <x v="0"/>
    <x v="26"/>
    <x v="2"/>
    <x v="1"/>
  </r>
  <r>
    <x v="402"/>
    <x v="401"/>
    <x v="1"/>
    <x v="0"/>
    <x v="0"/>
    <x v="2"/>
    <x v="2"/>
    <x v="0"/>
    <x v="77"/>
    <x v="9"/>
    <x v="1"/>
  </r>
  <r>
    <x v="403"/>
    <x v="402"/>
    <x v="0"/>
    <x v="2"/>
    <x v="1"/>
    <x v="0"/>
    <x v="0"/>
    <x v="1"/>
    <x v="90"/>
    <x v="6"/>
    <x v="1"/>
  </r>
  <r>
    <x v="404"/>
    <x v="403"/>
    <x v="0"/>
    <x v="1"/>
    <x v="4"/>
    <x v="2"/>
    <x v="2"/>
    <x v="1"/>
    <x v="10"/>
    <x v="0"/>
    <x v="0"/>
  </r>
  <r>
    <x v="405"/>
    <x v="404"/>
    <x v="0"/>
    <x v="0"/>
    <x v="1"/>
    <x v="0"/>
    <x v="2"/>
    <x v="0"/>
    <x v="95"/>
    <x v="7"/>
    <x v="1"/>
  </r>
  <r>
    <x v="406"/>
    <x v="405"/>
    <x v="0"/>
    <x v="2"/>
    <x v="2"/>
    <x v="0"/>
    <x v="3"/>
    <x v="1"/>
    <x v="3"/>
    <x v="6"/>
    <x v="1"/>
  </r>
  <r>
    <x v="407"/>
    <x v="406"/>
    <x v="1"/>
    <x v="1"/>
    <x v="2"/>
    <x v="1"/>
    <x v="0"/>
    <x v="0"/>
    <x v="29"/>
    <x v="9"/>
    <x v="0"/>
  </r>
  <r>
    <x v="408"/>
    <x v="407"/>
    <x v="1"/>
    <x v="0"/>
    <x v="3"/>
    <x v="3"/>
    <x v="1"/>
    <x v="1"/>
    <x v="95"/>
    <x v="7"/>
    <x v="1"/>
  </r>
  <r>
    <x v="409"/>
    <x v="408"/>
    <x v="0"/>
    <x v="1"/>
    <x v="3"/>
    <x v="2"/>
    <x v="1"/>
    <x v="0"/>
    <x v="96"/>
    <x v="8"/>
    <x v="0"/>
  </r>
  <r>
    <x v="410"/>
    <x v="409"/>
    <x v="0"/>
    <x v="4"/>
    <x v="4"/>
    <x v="0"/>
    <x v="0"/>
    <x v="0"/>
    <x v="68"/>
    <x v="6"/>
    <x v="0"/>
  </r>
  <r>
    <x v="411"/>
    <x v="410"/>
    <x v="0"/>
    <x v="4"/>
    <x v="4"/>
    <x v="2"/>
    <x v="2"/>
    <x v="1"/>
    <x v="44"/>
    <x v="9"/>
    <x v="0"/>
  </r>
  <r>
    <x v="412"/>
    <x v="411"/>
    <x v="1"/>
    <x v="4"/>
    <x v="3"/>
    <x v="1"/>
    <x v="1"/>
    <x v="0"/>
    <x v="47"/>
    <x v="9"/>
    <x v="1"/>
  </r>
  <r>
    <x v="413"/>
    <x v="412"/>
    <x v="1"/>
    <x v="0"/>
    <x v="0"/>
    <x v="2"/>
    <x v="0"/>
    <x v="1"/>
    <x v="15"/>
    <x v="8"/>
    <x v="1"/>
  </r>
  <r>
    <x v="414"/>
    <x v="413"/>
    <x v="1"/>
    <x v="1"/>
    <x v="4"/>
    <x v="1"/>
    <x v="1"/>
    <x v="0"/>
    <x v="55"/>
    <x v="9"/>
    <x v="0"/>
  </r>
  <r>
    <x v="415"/>
    <x v="414"/>
    <x v="1"/>
    <x v="1"/>
    <x v="1"/>
    <x v="3"/>
    <x v="0"/>
    <x v="1"/>
    <x v="18"/>
    <x v="8"/>
    <x v="0"/>
  </r>
  <r>
    <x v="416"/>
    <x v="415"/>
    <x v="0"/>
    <x v="4"/>
    <x v="1"/>
    <x v="2"/>
    <x v="0"/>
    <x v="1"/>
    <x v="6"/>
    <x v="8"/>
    <x v="0"/>
  </r>
  <r>
    <x v="417"/>
    <x v="416"/>
    <x v="0"/>
    <x v="3"/>
    <x v="1"/>
    <x v="0"/>
    <x v="2"/>
    <x v="1"/>
    <x v="41"/>
    <x v="6"/>
    <x v="1"/>
  </r>
  <r>
    <x v="418"/>
    <x v="417"/>
    <x v="0"/>
    <x v="1"/>
    <x v="2"/>
    <x v="1"/>
    <x v="4"/>
    <x v="1"/>
    <x v="73"/>
    <x v="2"/>
    <x v="0"/>
  </r>
  <r>
    <x v="419"/>
    <x v="418"/>
    <x v="1"/>
    <x v="1"/>
    <x v="4"/>
    <x v="0"/>
    <x v="0"/>
    <x v="0"/>
    <x v="18"/>
    <x v="2"/>
    <x v="0"/>
  </r>
  <r>
    <x v="420"/>
    <x v="419"/>
    <x v="0"/>
    <x v="3"/>
    <x v="1"/>
    <x v="2"/>
    <x v="3"/>
    <x v="1"/>
    <x v="48"/>
    <x v="1"/>
    <x v="1"/>
  </r>
  <r>
    <x v="421"/>
    <x v="420"/>
    <x v="1"/>
    <x v="0"/>
    <x v="1"/>
    <x v="1"/>
    <x v="0"/>
    <x v="0"/>
    <x v="79"/>
    <x v="0"/>
    <x v="1"/>
  </r>
  <r>
    <x v="422"/>
    <x v="421"/>
    <x v="0"/>
    <x v="0"/>
    <x v="1"/>
    <x v="1"/>
    <x v="0"/>
    <x v="1"/>
    <x v="76"/>
    <x v="7"/>
    <x v="0"/>
  </r>
  <r>
    <x v="423"/>
    <x v="422"/>
    <x v="0"/>
    <x v="1"/>
    <x v="0"/>
    <x v="1"/>
    <x v="4"/>
    <x v="0"/>
    <x v="29"/>
    <x v="8"/>
    <x v="0"/>
  </r>
  <r>
    <x v="424"/>
    <x v="423"/>
    <x v="0"/>
    <x v="4"/>
    <x v="1"/>
    <x v="0"/>
    <x v="1"/>
    <x v="0"/>
    <x v="60"/>
    <x v="1"/>
    <x v="1"/>
  </r>
  <r>
    <x v="425"/>
    <x v="424"/>
    <x v="1"/>
    <x v="0"/>
    <x v="2"/>
    <x v="3"/>
    <x v="3"/>
    <x v="1"/>
    <x v="28"/>
    <x v="4"/>
    <x v="1"/>
  </r>
  <r>
    <x v="426"/>
    <x v="425"/>
    <x v="0"/>
    <x v="3"/>
    <x v="1"/>
    <x v="1"/>
    <x v="4"/>
    <x v="0"/>
    <x v="65"/>
    <x v="2"/>
    <x v="1"/>
  </r>
  <r>
    <x v="427"/>
    <x v="426"/>
    <x v="0"/>
    <x v="4"/>
    <x v="1"/>
    <x v="2"/>
    <x v="0"/>
    <x v="1"/>
    <x v="2"/>
    <x v="5"/>
    <x v="1"/>
  </r>
  <r>
    <x v="428"/>
    <x v="427"/>
    <x v="1"/>
    <x v="4"/>
    <x v="0"/>
    <x v="3"/>
    <x v="0"/>
    <x v="1"/>
    <x v="29"/>
    <x v="6"/>
    <x v="0"/>
  </r>
  <r>
    <x v="429"/>
    <x v="428"/>
    <x v="1"/>
    <x v="3"/>
    <x v="4"/>
    <x v="3"/>
    <x v="4"/>
    <x v="1"/>
    <x v="81"/>
    <x v="0"/>
    <x v="1"/>
  </r>
  <r>
    <x v="430"/>
    <x v="429"/>
    <x v="0"/>
    <x v="1"/>
    <x v="4"/>
    <x v="0"/>
    <x v="0"/>
    <x v="0"/>
    <x v="81"/>
    <x v="6"/>
    <x v="1"/>
  </r>
  <r>
    <x v="431"/>
    <x v="430"/>
    <x v="1"/>
    <x v="3"/>
    <x v="1"/>
    <x v="2"/>
    <x v="3"/>
    <x v="0"/>
    <x v="16"/>
    <x v="5"/>
    <x v="1"/>
  </r>
  <r>
    <x v="432"/>
    <x v="431"/>
    <x v="1"/>
    <x v="0"/>
    <x v="1"/>
    <x v="2"/>
    <x v="4"/>
    <x v="1"/>
    <x v="56"/>
    <x v="2"/>
    <x v="0"/>
  </r>
  <r>
    <x v="433"/>
    <x v="432"/>
    <x v="1"/>
    <x v="4"/>
    <x v="0"/>
    <x v="2"/>
    <x v="1"/>
    <x v="0"/>
    <x v="26"/>
    <x v="5"/>
    <x v="1"/>
  </r>
  <r>
    <x v="434"/>
    <x v="433"/>
    <x v="1"/>
    <x v="2"/>
    <x v="1"/>
    <x v="3"/>
    <x v="3"/>
    <x v="1"/>
    <x v="60"/>
    <x v="3"/>
    <x v="1"/>
  </r>
  <r>
    <x v="435"/>
    <x v="434"/>
    <x v="0"/>
    <x v="4"/>
    <x v="0"/>
    <x v="3"/>
    <x v="4"/>
    <x v="0"/>
    <x v="56"/>
    <x v="1"/>
    <x v="0"/>
  </r>
  <r>
    <x v="436"/>
    <x v="435"/>
    <x v="1"/>
    <x v="3"/>
    <x v="0"/>
    <x v="2"/>
    <x v="2"/>
    <x v="1"/>
    <x v="15"/>
    <x v="1"/>
    <x v="1"/>
  </r>
  <r>
    <x v="437"/>
    <x v="436"/>
    <x v="1"/>
    <x v="4"/>
    <x v="0"/>
    <x v="2"/>
    <x v="1"/>
    <x v="1"/>
    <x v="77"/>
    <x v="4"/>
    <x v="1"/>
  </r>
  <r>
    <x v="438"/>
    <x v="437"/>
    <x v="0"/>
    <x v="3"/>
    <x v="2"/>
    <x v="3"/>
    <x v="4"/>
    <x v="0"/>
    <x v="42"/>
    <x v="4"/>
    <x v="1"/>
  </r>
  <r>
    <x v="439"/>
    <x v="438"/>
    <x v="0"/>
    <x v="2"/>
    <x v="4"/>
    <x v="0"/>
    <x v="1"/>
    <x v="0"/>
    <x v="42"/>
    <x v="7"/>
    <x v="1"/>
  </r>
  <r>
    <x v="440"/>
    <x v="439"/>
    <x v="1"/>
    <x v="0"/>
    <x v="4"/>
    <x v="0"/>
    <x v="0"/>
    <x v="0"/>
    <x v="94"/>
    <x v="6"/>
    <x v="1"/>
  </r>
  <r>
    <x v="441"/>
    <x v="440"/>
    <x v="1"/>
    <x v="3"/>
    <x v="0"/>
    <x v="0"/>
    <x v="1"/>
    <x v="1"/>
    <x v="52"/>
    <x v="3"/>
    <x v="1"/>
  </r>
  <r>
    <x v="442"/>
    <x v="441"/>
    <x v="0"/>
    <x v="0"/>
    <x v="2"/>
    <x v="2"/>
    <x v="2"/>
    <x v="0"/>
    <x v="40"/>
    <x v="2"/>
    <x v="1"/>
  </r>
  <r>
    <x v="443"/>
    <x v="442"/>
    <x v="0"/>
    <x v="0"/>
    <x v="1"/>
    <x v="0"/>
    <x v="0"/>
    <x v="0"/>
    <x v="90"/>
    <x v="4"/>
    <x v="1"/>
  </r>
  <r>
    <x v="444"/>
    <x v="443"/>
    <x v="1"/>
    <x v="4"/>
    <x v="2"/>
    <x v="2"/>
    <x v="2"/>
    <x v="0"/>
    <x v="91"/>
    <x v="2"/>
    <x v="0"/>
  </r>
  <r>
    <x v="445"/>
    <x v="444"/>
    <x v="0"/>
    <x v="2"/>
    <x v="2"/>
    <x v="1"/>
    <x v="2"/>
    <x v="1"/>
    <x v="68"/>
    <x v="9"/>
    <x v="0"/>
  </r>
  <r>
    <x v="446"/>
    <x v="445"/>
    <x v="0"/>
    <x v="1"/>
    <x v="0"/>
    <x v="1"/>
    <x v="1"/>
    <x v="1"/>
    <x v="0"/>
    <x v="1"/>
    <x v="0"/>
  </r>
  <r>
    <x v="447"/>
    <x v="446"/>
    <x v="1"/>
    <x v="2"/>
    <x v="4"/>
    <x v="3"/>
    <x v="0"/>
    <x v="1"/>
    <x v="72"/>
    <x v="2"/>
    <x v="0"/>
  </r>
  <r>
    <x v="448"/>
    <x v="447"/>
    <x v="1"/>
    <x v="4"/>
    <x v="2"/>
    <x v="3"/>
    <x v="4"/>
    <x v="0"/>
    <x v="75"/>
    <x v="9"/>
    <x v="0"/>
  </r>
  <r>
    <x v="449"/>
    <x v="448"/>
    <x v="1"/>
    <x v="0"/>
    <x v="2"/>
    <x v="3"/>
    <x v="0"/>
    <x v="0"/>
    <x v="74"/>
    <x v="6"/>
    <x v="0"/>
  </r>
  <r>
    <x v="450"/>
    <x v="449"/>
    <x v="0"/>
    <x v="2"/>
    <x v="1"/>
    <x v="0"/>
    <x v="1"/>
    <x v="0"/>
    <x v="98"/>
    <x v="8"/>
    <x v="1"/>
  </r>
  <r>
    <x v="451"/>
    <x v="450"/>
    <x v="0"/>
    <x v="0"/>
    <x v="2"/>
    <x v="2"/>
    <x v="2"/>
    <x v="1"/>
    <x v="76"/>
    <x v="4"/>
    <x v="0"/>
  </r>
  <r>
    <x v="452"/>
    <x v="451"/>
    <x v="0"/>
    <x v="4"/>
    <x v="3"/>
    <x v="2"/>
    <x v="0"/>
    <x v="0"/>
    <x v="55"/>
    <x v="4"/>
    <x v="0"/>
  </r>
  <r>
    <x v="453"/>
    <x v="452"/>
    <x v="1"/>
    <x v="3"/>
    <x v="2"/>
    <x v="0"/>
    <x v="3"/>
    <x v="1"/>
    <x v="85"/>
    <x v="3"/>
    <x v="1"/>
  </r>
  <r>
    <x v="454"/>
    <x v="453"/>
    <x v="1"/>
    <x v="3"/>
    <x v="3"/>
    <x v="2"/>
    <x v="0"/>
    <x v="0"/>
    <x v="29"/>
    <x v="4"/>
    <x v="0"/>
  </r>
  <r>
    <x v="455"/>
    <x v="454"/>
    <x v="1"/>
    <x v="2"/>
    <x v="2"/>
    <x v="1"/>
    <x v="2"/>
    <x v="1"/>
    <x v="58"/>
    <x v="5"/>
    <x v="1"/>
  </r>
  <r>
    <x v="456"/>
    <x v="455"/>
    <x v="0"/>
    <x v="4"/>
    <x v="1"/>
    <x v="0"/>
    <x v="4"/>
    <x v="0"/>
    <x v="30"/>
    <x v="5"/>
    <x v="1"/>
  </r>
  <r>
    <x v="457"/>
    <x v="456"/>
    <x v="0"/>
    <x v="2"/>
    <x v="4"/>
    <x v="0"/>
    <x v="0"/>
    <x v="1"/>
    <x v="77"/>
    <x v="1"/>
    <x v="1"/>
  </r>
  <r>
    <x v="458"/>
    <x v="457"/>
    <x v="1"/>
    <x v="3"/>
    <x v="2"/>
    <x v="2"/>
    <x v="3"/>
    <x v="1"/>
    <x v="94"/>
    <x v="5"/>
    <x v="1"/>
  </r>
  <r>
    <x v="459"/>
    <x v="458"/>
    <x v="1"/>
    <x v="3"/>
    <x v="3"/>
    <x v="0"/>
    <x v="0"/>
    <x v="0"/>
    <x v="99"/>
    <x v="0"/>
    <x v="1"/>
  </r>
  <r>
    <x v="460"/>
    <x v="459"/>
    <x v="0"/>
    <x v="2"/>
    <x v="4"/>
    <x v="1"/>
    <x v="3"/>
    <x v="0"/>
    <x v="80"/>
    <x v="1"/>
    <x v="1"/>
  </r>
  <r>
    <x v="461"/>
    <x v="460"/>
    <x v="1"/>
    <x v="1"/>
    <x v="2"/>
    <x v="1"/>
    <x v="3"/>
    <x v="0"/>
    <x v="44"/>
    <x v="1"/>
    <x v="0"/>
  </r>
  <r>
    <x v="462"/>
    <x v="461"/>
    <x v="1"/>
    <x v="2"/>
    <x v="2"/>
    <x v="1"/>
    <x v="2"/>
    <x v="0"/>
    <x v="55"/>
    <x v="4"/>
    <x v="0"/>
  </r>
  <r>
    <x v="463"/>
    <x v="462"/>
    <x v="0"/>
    <x v="4"/>
    <x v="2"/>
    <x v="3"/>
    <x v="2"/>
    <x v="1"/>
    <x v="8"/>
    <x v="5"/>
    <x v="0"/>
  </r>
  <r>
    <x v="464"/>
    <x v="463"/>
    <x v="0"/>
    <x v="4"/>
    <x v="0"/>
    <x v="3"/>
    <x v="1"/>
    <x v="1"/>
    <x v="23"/>
    <x v="5"/>
    <x v="0"/>
  </r>
  <r>
    <x v="465"/>
    <x v="464"/>
    <x v="1"/>
    <x v="3"/>
    <x v="0"/>
    <x v="1"/>
    <x v="3"/>
    <x v="1"/>
    <x v="84"/>
    <x v="3"/>
    <x v="0"/>
  </r>
  <r>
    <x v="466"/>
    <x v="465"/>
    <x v="0"/>
    <x v="0"/>
    <x v="3"/>
    <x v="1"/>
    <x v="3"/>
    <x v="0"/>
    <x v="56"/>
    <x v="6"/>
    <x v="0"/>
  </r>
  <r>
    <x v="467"/>
    <x v="466"/>
    <x v="0"/>
    <x v="3"/>
    <x v="4"/>
    <x v="1"/>
    <x v="2"/>
    <x v="0"/>
    <x v="25"/>
    <x v="6"/>
    <x v="1"/>
  </r>
  <r>
    <x v="468"/>
    <x v="467"/>
    <x v="0"/>
    <x v="2"/>
    <x v="4"/>
    <x v="3"/>
    <x v="0"/>
    <x v="1"/>
    <x v="66"/>
    <x v="7"/>
    <x v="0"/>
  </r>
  <r>
    <x v="469"/>
    <x v="468"/>
    <x v="1"/>
    <x v="3"/>
    <x v="3"/>
    <x v="1"/>
    <x v="2"/>
    <x v="1"/>
    <x v="33"/>
    <x v="2"/>
    <x v="1"/>
  </r>
  <r>
    <x v="470"/>
    <x v="469"/>
    <x v="0"/>
    <x v="3"/>
    <x v="3"/>
    <x v="2"/>
    <x v="2"/>
    <x v="0"/>
    <x v="60"/>
    <x v="8"/>
    <x v="1"/>
  </r>
  <r>
    <x v="471"/>
    <x v="470"/>
    <x v="0"/>
    <x v="4"/>
    <x v="0"/>
    <x v="1"/>
    <x v="0"/>
    <x v="0"/>
    <x v="74"/>
    <x v="5"/>
    <x v="0"/>
  </r>
  <r>
    <x v="472"/>
    <x v="471"/>
    <x v="1"/>
    <x v="2"/>
    <x v="1"/>
    <x v="1"/>
    <x v="1"/>
    <x v="1"/>
    <x v="14"/>
    <x v="3"/>
    <x v="1"/>
  </r>
  <r>
    <x v="473"/>
    <x v="472"/>
    <x v="1"/>
    <x v="1"/>
    <x v="3"/>
    <x v="2"/>
    <x v="0"/>
    <x v="0"/>
    <x v="43"/>
    <x v="6"/>
    <x v="0"/>
  </r>
  <r>
    <x v="474"/>
    <x v="473"/>
    <x v="1"/>
    <x v="0"/>
    <x v="2"/>
    <x v="2"/>
    <x v="2"/>
    <x v="1"/>
    <x v="50"/>
    <x v="1"/>
    <x v="1"/>
  </r>
  <r>
    <x v="475"/>
    <x v="474"/>
    <x v="1"/>
    <x v="1"/>
    <x v="2"/>
    <x v="2"/>
    <x v="2"/>
    <x v="1"/>
    <x v="76"/>
    <x v="1"/>
    <x v="0"/>
  </r>
  <r>
    <x v="476"/>
    <x v="475"/>
    <x v="0"/>
    <x v="2"/>
    <x v="0"/>
    <x v="3"/>
    <x v="4"/>
    <x v="0"/>
    <x v="58"/>
    <x v="4"/>
    <x v="1"/>
  </r>
  <r>
    <x v="477"/>
    <x v="476"/>
    <x v="1"/>
    <x v="2"/>
    <x v="1"/>
    <x v="1"/>
    <x v="2"/>
    <x v="1"/>
    <x v="13"/>
    <x v="1"/>
    <x v="0"/>
  </r>
  <r>
    <x v="478"/>
    <x v="477"/>
    <x v="0"/>
    <x v="2"/>
    <x v="4"/>
    <x v="0"/>
    <x v="2"/>
    <x v="0"/>
    <x v="98"/>
    <x v="1"/>
    <x v="1"/>
  </r>
  <r>
    <x v="479"/>
    <x v="478"/>
    <x v="1"/>
    <x v="0"/>
    <x v="4"/>
    <x v="3"/>
    <x v="3"/>
    <x v="0"/>
    <x v="23"/>
    <x v="8"/>
    <x v="0"/>
  </r>
  <r>
    <x v="480"/>
    <x v="479"/>
    <x v="0"/>
    <x v="2"/>
    <x v="1"/>
    <x v="2"/>
    <x v="4"/>
    <x v="0"/>
    <x v="28"/>
    <x v="7"/>
    <x v="1"/>
  </r>
  <r>
    <x v="481"/>
    <x v="480"/>
    <x v="0"/>
    <x v="2"/>
    <x v="3"/>
    <x v="2"/>
    <x v="0"/>
    <x v="0"/>
    <x v="53"/>
    <x v="9"/>
    <x v="0"/>
  </r>
  <r>
    <x v="482"/>
    <x v="481"/>
    <x v="0"/>
    <x v="3"/>
    <x v="3"/>
    <x v="1"/>
    <x v="2"/>
    <x v="1"/>
    <x v="4"/>
    <x v="1"/>
    <x v="0"/>
  </r>
  <r>
    <x v="483"/>
    <x v="482"/>
    <x v="0"/>
    <x v="4"/>
    <x v="0"/>
    <x v="2"/>
    <x v="2"/>
    <x v="1"/>
    <x v="9"/>
    <x v="0"/>
    <x v="1"/>
  </r>
  <r>
    <x v="484"/>
    <x v="483"/>
    <x v="0"/>
    <x v="4"/>
    <x v="0"/>
    <x v="0"/>
    <x v="2"/>
    <x v="1"/>
    <x v="14"/>
    <x v="7"/>
    <x v="1"/>
  </r>
  <r>
    <x v="485"/>
    <x v="484"/>
    <x v="1"/>
    <x v="3"/>
    <x v="0"/>
    <x v="3"/>
    <x v="3"/>
    <x v="1"/>
    <x v="99"/>
    <x v="1"/>
    <x v="1"/>
  </r>
  <r>
    <x v="486"/>
    <x v="485"/>
    <x v="0"/>
    <x v="2"/>
    <x v="4"/>
    <x v="0"/>
    <x v="3"/>
    <x v="0"/>
    <x v="7"/>
    <x v="5"/>
    <x v="1"/>
  </r>
  <r>
    <x v="487"/>
    <x v="486"/>
    <x v="0"/>
    <x v="0"/>
    <x v="4"/>
    <x v="1"/>
    <x v="3"/>
    <x v="1"/>
    <x v="90"/>
    <x v="7"/>
    <x v="1"/>
  </r>
  <r>
    <x v="488"/>
    <x v="487"/>
    <x v="0"/>
    <x v="3"/>
    <x v="3"/>
    <x v="2"/>
    <x v="0"/>
    <x v="0"/>
    <x v="85"/>
    <x v="9"/>
    <x v="1"/>
  </r>
  <r>
    <x v="489"/>
    <x v="488"/>
    <x v="0"/>
    <x v="0"/>
    <x v="3"/>
    <x v="2"/>
    <x v="3"/>
    <x v="1"/>
    <x v="49"/>
    <x v="9"/>
    <x v="1"/>
  </r>
  <r>
    <x v="490"/>
    <x v="489"/>
    <x v="0"/>
    <x v="3"/>
    <x v="1"/>
    <x v="1"/>
    <x v="3"/>
    <x v="1"/>
    <x v="41"/>
    <x v="6"/>
    <x v="1"/>
  </r>
  <r>
    <x v="491"/>
    <x v="490"/>
    <x v="0"/>
    <x v="4"/>
    <x v="4"/>
    <x v="1"/>
    <x v="1"/>
    <x v="1"/>
    <x v="89"/>
    <x v="3"/>
    <x v="1"/>
  </r>
  <r>
    <x v="492"/>
    <x v="491"/>
    <x v="1"/>
    <x v="3"/>
    <x v="0"/>
    <x v="1"/>
    <x v="1"/>
    <x v="0"/>
    <x v="30"/>
    <x v="4"/>
    <x v="1"/>
  </r>
  <r>
    <x v="493"/>
    <x v="492"/>
    <x v="0"/>
    <x v="0"/>
    <x v="3"/>
    <x v="0"/>
    <x v="0"/>
    <x v="0"/>
    <x v="98"/>
    <x v="1"/>
    <x v="1"/>
  </r>
  <r>
    <x v="494"/>
    <x v="493"/>
    <x v="0"/>
    <x v="1"/>
    <x v="4"/>
    <x v="1"/>
    <x v="4"/>
    <x v="1"/>
    <x v="55"/>
    <x v="6"/>
    <x v="0"/>
  </r>
  <r>
    <x v="495"/>
    <x v="494"/>
    <x v="0"/>
    <x v="4"/>
    <x v="2"/>
    <x v="3"/>
    <x v="1"/>
    <x v="0"/>
    <x v="19"/>
    <x v="9"/>
    <x v="0"/>
  </r>
  <r>
    <x v="496"/>
    <x v="495"/>
    <x v="0"/>
    <x v="4"/>
    <x v="2"/>
    <x v="3"/>
    <x v="1"/>
    <x v="1"/>
    <x v="89"/>
    <x v="3"/>
    <x v="1"/>
  </r>
  <r>
    <x v="497"/>
    <x v="496"/>
    <x v="1"/>
    <x v="1"/>
    <x v="2"/>
    <x v="2"/>
    <x v="3"/>
    <x v="1"/>
    <x v="96"/>
    <x v="2"/>
    <x v="0"/>
  </r>
  <r>
    <x v="498"/>
    <x v="497"/>
    <x v="1"/>
    <x v="0"/>
    <x v="1"/>
    <x v="2"/>
    <x v="3"/>
    <x v="1"/>
    <x v="57"/>
    <x v="9"/>
    <x v="0"/>
  </r>
  <r>
    <x v="499"/>
    <x v="498"/>
    <x v="0"/>
    <x v="4"/>
    <x v="4"/>
    <x v="1"/>
    <x v="0"/>
    <x v="1"/>
    <x v="53"/>
    <x v="9"/>
    <x v="0"/>
  </r>
  <r>
    <x v="500"/>
    <x v="499"/>
    <x v="1"/>
    <x v="1"/>
    <x v="1"/>
    <x v="0"/>
    <x v="3"/>
    <x v="1"/>
    <x v="85"/>
    <x v="8"/>
    <x v="1"/>
  </r>
  <r>
    <x v="501"/>
    <x v="500"/>
    <x v="0"/>
    <x v="0"/>
    <x v="2"/>
    <x v="3"/>
    <x v="3"/>
    <x v="1"/>
    <x v="28"/>
    <x v="3"/>
    <x v="1"/>
  </r>
  <r>
    <x v="502"/>
    <x v="501"/>
    <x v="0"/>
    <x v="0"/>
    <x v="3"/>
    <x v="2"/>
    <x v="3"/>
    <x v="0"/>
    <x v="62"/>
    <x v="5"/>
    <x v="1"/>
  </r>
  <r>
    <x v="503"/>
    <x v="502"/>
    <x v="0"/>
    <x v="2"/>
    <x v="1"/>
    <x v="2"/>
    <x v="1"/>
    <x v="0"/>
    <x v="6"/>
    <x v="5"/>
    <x v="0"/>
  </r>
  <r>
    <x v="504"/>
    <x v="503"/>
    <x v="1"/>
    <x v="2"/>
    <x v="0"/>
    <x v="0"/>
    <x v="1"/>
    <x v="0"/>
    <x v="53"/>
    <x v="7"/>
    <x v="0"/>
  </r>
  <r>
    <x v="505"/>
    <x v="504"/>
    <x v="1"/>
    <x v="0"/>
    <x v="4"/>
    <x v="1"/>
    <x v="4"/>
    <x v="1"/>
    <x v="4"/>
    <x v="4"/>
    <x v="0"/>
  </r>
  <r>
    <x v="506"/>
    <x v="505"/>
    <x v="1"/>
    <x v="3"/>
    <x v="2"/>
    <x v="1"/>
    <x v="1"/>
    <x v="0"/>
    <x v="17"/>
    <x v="9"/>
    <x v="0"/>
  </r>
  <r>
    <x v="507"/>
    <x v="506"/>
    <x v="1"/>
    <x v="2"/>
    <x v="2"/>
    <x v="1"/>
    <x v="1"/>
    <x v="0"/>
    <x v="13"/>
    <x v="9"/>
    <x v="0"/>
  </r>
  <r>
    <x v="508"/>
    <x v="507"/>
    <x v="1"/>
    <x v="4"/>
    <x v="3"/>
    <x v="0"/>
    <x v="3"/>
    <x v="1"/>
    <x v="12"/>
    <x v="7"/>
    <x v="0"/>
  </r>
  <r>
    <x v="509"/>
    <x v="508"/>
    <x v="1"/>
    <x v="0"/>
    <x v="3"/>
    <x v="1"/>
    <x v="1"/>
    <x v="0"/>
    <x v="89"/>
    <x v="1"/>
    <x v="1"/>
  </r>
  <r>
    <x v="510"/>
    <x v="509"/>
    <x v="1"/>
    <x v="2"/>
    <x v="2"/>
    <x v="3"/>
    <x v="1"/>
    <x v="0"/>
    <x v="8"/>
    <x v="7"/>
    <x v="0"/>
  </r>
  <r>
    <x v="511"/>
    <x v="510"/>
    <x v="0"/>
    <x v="3"/>
    <x v="0"/>
    <x v="0"/>
    <x v="1"/>
    <x v="1"/>
    <x v="84"/>
    <x v="2"/>
    <x v="0"/>
  </r>
  <r>
    <x v="512"/>
    <x v="511"/>
    <x v="1"/>
    <x v="4"/>
    <x v="3"/>
    <x v="3"/>
    <x v="4"/>
    <x v="1"/>
    <x v="20"/>
    <x v="7"/>
    <x v="0"/>
  </r>
  <r>
    <x v="513"/>
    <x v="512"/>
    <x v="1"/>
    <x v="2"/>
    <x v="0"/>
    <x v="1"/>
    <x v="2"/>
    <x v="0"/>
    <x v="29"/>
    <x v="9"/>
    <x v="0"/>
  </r>
  <r>
    <x v="514"/>
    <x v="513"/>
    <x v="1"/>
    <x v="0"/>
    <x v="1"/>
    <x v="2"/>
    <x v="4"/>
    <x v="0"/>
    <x v="89"/>
    <x v="8"/>
    <x v="1"/>
  </r>
  <r>
    <x v="515"/>
    <x v="514"/>
    <x v="0"/>
    <x v="4"/>
    <x v="0"/>
    <x v="0"/>
    <x v="4"/>
    <x v="1"/>
    <x v="92"/>
    <x v="3"/>
    <x v="1"/>
  </r>
  <r>
    <x v="516"/>
    <x v="515"/>
    <x v="0"/>
    <x v="2"/>
    <x v="3"/>
    <x v="1"/>
    <x v="4"/>
    <x v="0"/>
    <x v="76"/>
    <x v="7"/>
    <x v="0"/>
  </r>
  <r>
    <x v="517"/>
    <x v="516"/>
    <x v="0"/>
    <x v="2"/>
    <x v="3"/>
    <x v="3"/>
    <x v="3"/>
    <x v="1"/>
    <x v="70"/>
    <x v="0"/>
    <x v="0"/>
  </r>
  <r>
    <x v="518"/>
    <x v="517"/>
    <x v="0"/>
    <x v="0"/>
    <x v="2"/>
    <x v="3"/>
    <x v="4"/>
    <x v="1"/>
    <x v="72"/>
    <x v="3"/>
    <x v="0"/>
  </r>
  <r>
    <x v="519"/>
    <x v="518"/>
    <x v="0"/>
    <x v="4"/>
    <x v="1"/>
    <x v="3"/>
    <x v="0"/>
    <x v="0"/>
    <x v="35"/>
    <x v="0"/>
    <x v="0"/>
  </r>
  <r>
    <x v="520"/>
    <x v="519"/>
    <x v="1"/>
    <x v="2"/>
    <x v="1"/>
    <x v="0"/>
    <x v="3"/>
    <x v="1"/>
    <x v="2"/>
    <x v="2"/>
    <x v="1"/>
  </r>
  <r>
    <x v="521"/>
    <x v="520"/>
    <x v="0"/>
    <x v="4"/>
    <x v="2"/>
    <x v="0"/>
    <x v="3"/>
    <x v="0"/>
    <x v="23"/>
    <x v="8"/>
    <x v="0"/>
  </r>
  <r>
    <x v="522"/>
    <x v="521"/>
    <x v="1"/>
    <x v="2"/>
    <x v="2"/>
    <x v="3"/>
    <x v="1"/>
    <x v="0"/>
    <x v="33"/>
    <x v="7"/>
    <x v="1"/>
  </r>
  <r>
    <x v="523"/>
    <x v="522"/>
    <x v="0"/>
    <x v="2"/>
    <x v="0"/>
    <x v="1"/>
    <x v="0"/>
    <x v="1"/>
    <x v="0"/>
    <x v="4"/>
    <x v="0"/>
  </r>
  <r>
    <x v="524"/>
    <x v="523"/>
    <x v="1"/>
    <x v="1"/>
    <x v="4"/>
    <x v="1"/>
    <x v="4"/>
    <x v="0"/>
    <x v="94"/>
    <x v="6"/>
    <x v="1"/>
  </r>
  <r>
    <x v="525"/>
    <x v="524"/>
    <x v="1"/>
    <x v="3"/>
    <x v="0"/>
    <x v="0"/>
    <x v="0"/>
    <x v="1"/>
    <x v="26"/>
    <x v="0"/>
    <x v="1"/>
  </r>
  <r>
    <x v="526"/>
    <x v="525"/>
    <x v="1"/>
    <x v="4"/>
    <x v="4"/>
    <x v="2"/>
    <x v="3"/>
    <x v="1"/>
    <x v="51"/>
    <x v="8"/>
    <x v="1"/>
  </r>
  <r>
    <x v="527"/>
    <x v="526"/>
    <x v="0"/>
    <x v="0"/>
    <x v="1"/>
    <x v="3"/>
    <x v="4"/>
    <x v="0"/>
    <x v="96"/>
    <x v="0"/>
    <x v="0"/>
  </r>
  <r>
    <x v="528"/>
    <x v="527"/>
    <x v="1"/>
    <x v="3"/>
    <x v="4"/>
    <x v="1"/>
    <x v="2"/>
    <x v="1"/>
    <x v="52"/>
    <x v="3"/>
    <x v="1"/>
  </r>
  <r>
    <x v="529"/>
    <x v="528"/>
    <x v="0"/>
    <x v="1"/>
    <x v="1"/>
    <x v="1"/>
    <x v="2"/>
    <x v="0"/>
    <x v="1"/>
    <x v="3"/>
    <x v="1"/>
  </r>
  <r>
    <x v="530"/>
    <x v="529"/>
    <x v="0"/>
    <x v="4"/>
    <x v="3"/>
    <x v="2"/>
    <x v="0"/>
    <x v="1"/>
    <x v="68"/>
    <x v="2"/>
    <x v="0"/>
  </r>
  <r>
    <x v="531"/>
    <x v="530"/>
    <x v="0"/>
    <x v="1"/>
    <x v="3"/>
    <x v="2"/>
    <x v="2"/>
    <x v="1"/>
    <x v="72"/>
    <x v="5"/>
    <x v="0"/>
  </r>
  <r>
    <x v="532"/>
    <x v="531"/>
    <x v="0"/>
    <x v="2"/>
    <x v="2"/>
    <x v="3"/>
    <x v="3"/>
    <x v="1"/>
    <x v="46"/>
    <x v="6"/>
    <x v="0"/>
  </r>
  <r>
    <x v="533"/>
    <x v="532"/>
    <x v="0"/>
    <x v="0"/>
    <x v="2"/>
    <x v="0"/>
    <x v="3"/>
    <x v="0"/>
    <x v="88"/>
    <x v="3"/>
    <x v="0"/>
  </r>
  <r>
    <x v="534"/>
    <x v="533"/>
    <x v="0"/>
    <x v="4"/>
    <x v="1"/>
    <x v="1"/>
    <x v="1"/>
    <x v="1"/>
    <x v="67"/>
    <x v="4"/>
    <x v="0"/>
  </r>
  <r>
    <x v="535"/>
    <x v="534"/>
    <x v="1"/>
    <x v="2"/>
    <x v="2"/>
    <x v="3"/>
    <x v="0"/>
    <x v="1"/>
    <x v="33"/>
    <x v="6"/>
    <x v="1"/>
  </r>
  <r>
    <x v="536"/>
    <x v="535"/>
    <x v="0"/>
    <x v="4"/>
    <x v="2"/>
    <x v="0"/>
    <x v="4"/>
    <x v="1"/>
    <x v="54"/>
    <x v="2"/>
    <x v="0"/>
  </r>
  <r>
    <x v="537"/>
    <x v="536"/>
    <x v="0"/>
    <x v="3"/>
    <x v="2"/>
    <x v="2"/>
    <x v="1"/>
    <x v="1"/>
    <x v="67"/>
    <x v="8"/>
    <x v="0"/>
  </r>
  <r>
    <x v="538"/>
    <x v="537"/>
    <x v="0"/>
    <x v="0"/>
    <x v="0"/>
    <x v="1"/>
    <x v="3"/>
    <x v="1"/>
    <x v="48"/>
    <x v="8"/>
    <x v="1"/>
  </r>
  <r>
    <x v="539"/>
    <x v="538"/>
    <x v="1"/>
    <x v="1"/>
    <x v="2"/>
    <x v="2"/>
    <x v="4"/>
    <x v="1"/>
    <x v="64"/>
    <x v="6"/>
    <x v="0"/>
  </r>
  <r>
    <x v="540"/>
    <x v="539"/>
    <x v="0"/>
    <x v="2"/>
    <x v="3"/>
    <x v="2"/>
    <x v="0"/>
    <x v="1"/>
    <x v="18"/>
    <x v="5"/>
    <x v="0"/>
  </r>
  <r>
    <x v="541"/>
    <x v="540"/>
    <x v="0"/>
    <x v="0"/>
    <x v="2"/>
    <x v="1"/>
    <x v="3"/>
    <x v="0"/>
    <x v="37"/>
    <x v="6"/>
    <x v="1"/>
  </r>
  <r>
    <x v="542"/>
    <x v="541"/>
    <x v="1"/>
    <x v="2"/>
    <x v="0"/>
    <x v="0"/>
    <x v="2"/>
    <x v="0"/>
    <x v="55"/>
    <x v="3"/>
    <x v="0"/>
  </r>
  <r>
    <x v="543"/>
    <x v="542"/>
    <x v="1"/>
    <x v="3"/>
    <x v="4"/>
    <x v="3"/>
    <x v="3"/>
    <x v="1"/>
    <x v="59"/>
    <x v="7"/>
    <x v="0"/>
  </r>
  <r>
    <x v="544"/>
    <x v="543"/>
    <x v="0"/>
    <x v="1"/>
    <x v="2"/>
    <x v="2"/>
    <x v="2"/>
    <x v="1"/>
    <x v="0"/>
    <x v="5"/>
    <x v="0"/>
  </r>
  <r>
    <x v="545"/>
    <x v="544"/>
    <x v="1"/>
    <x v="2"/>
    <x v="4"/>
    <x v="2"/>
    <x v="1"/>
    <x v="1"/>
    <x v="65"/>
    <x v="2"/>
    <x v="1"/>
  </r>
  <r>
    <x v="546"/>
    <x v="545"/>
    <x v="1"/>
    <x v="4"/>
    <x v="3"/>
    <x v="1"/>
    <x v="3"/>
    <x v="1"/>
    <x v="78"/>
    <x v="7"/>
    <x v="1"/>
  </r>
  <r>
    <x v="547"/>
    <x v="546"/>
    <x v="0"/>
    <x v="1"/>
    <x v="3"/>
    <x v="1"/>
    <x v="1"/>
    <x v="1"/>
    <x v="88"/>
    <x v="8"/>
    <x v="0"/>
  </r>
  <r>
    <x v="548"/>
    <x v="547"/>
    <x v="1"/>
    <x v="0"/>
    <x v="2"/>
    <x v="0"/>
    <x v="4"/>
    <x v="0"/>
    <x v="56"/>
    <x v="3"/>
    <x v="0"/>
  </r>
  <r>
    <x v="549"/>
    <x v="548"/>
    <x v="1"/>
    <x v="0"/>
    <x v="1"/>
    <x v="0"/>
    <x v="3"/>
    <x v="1"/>
    <x v="9"/>
    <x v="1"/>
    <x v="1"/>
  </r>
  <r>
    <x v="550"/>
    <x v="549"/>
    <x v="0"/>
    <x v="3"/>
    <x v="1"/>
    <x v="2"/>
    <x v="2"/>
    <x v="1"/>
    <x v="90"/>
    <x v="7"/>
    <x v="1"/>
  </r>
  <r>
    <x v="551"/>
    <x v="550"/>
    <x v="1"/>
    <x v="3"/>
    <x v="1"/>
    <x v="3"/>
    <x v="4"/>
    <x v="0"/>
    <x v="34"/>
    <x v="3"/>
    <x v="0"/>
  </r>
  <r>
    <x v="552"/>
    <x v="551"/>
    <x v="1"/>
    <x v="3"/>
    <x v="0"/>
    <x v="2"/>
    <x v="3"/>
    <x v="1"/>
    <x v="81"/>
    <x v="6"/>
    <x v="1"/>
  </r>
  <r>
    <x v="553"/>
    <x v="552"/>
    <x v="0"/>
    <x v="4"/>
    <x v="2"/>
    <x v="1"/>
    <x v="0"/>
    <x v="1"/>
    <x v="6"/>
    <x v="6"/>
    <x v="0"/>
  </r>
  <r>
    <x v="554"/>
    <x v="553"/>
    <x v="0"/>
    <x v="0"/>
    <x v="4"/>
    <x v="0"/>
    <x v="1"/>
    <x v="1"/>
    <x v="70"/>
    <x v="6"/>
    <x v="0"/>
  </r>
  <r>
    <x v="555"/>
    <x v="554"/>
    <x v="0"/>
    <x v="0"/>
    <x v="4"/>
    <x v="2"/>
    <x v="4"/>
    <x v="1"/>
    <x v="34"/>
    <x v="4"/>
    <x v="0"/>
  </r>
  <r>
    <x v="556"/>
    <x v="555"/>
    <x v="1"/>
    <x v="3"/>
    <x v="0"/>
    <x v="2"/>
    <x v="0"/>
    <x v="1"/>
    <x v="43"/>
    <x v="6"/>
    <x v="0"/>
  </r>
  <r>
    <x v="557"/>
    <x v="556"/>
    <x v="1"/>
    <x v="3"/>
    <x v="3"/>
    <x v="2"/>
    <x v="2"/>
    <x v="0"/>
    <x v="55"/>
    <x v="0"/>
    <x v="0"/>
  </r>
  <r>
    <x v="558"/>
    <x v="557"/>
    <x v="0"/>
    <x v="2"/>
    <x v="4"/>
    <x v="2"/>
    <x v="2"/>
    <x v="1"/>
    <x v="51"/>
    <x v="0"/>
    <x v="1"/>
  </r>
  <r>
    <x v="559"/>
    <x v="558"/>
    <x v="0"/>
    <x v="4"/>
    <x v="4"/>
    <x v="2"/>
    <x v="0"/>
    <x v="0"/>
    <x v="78"/>
    <x v="2"/>
    <x v="1"/>
  </r>
  <r>
    <x v="560"/>
    <x v="559"/>
    <x v="0"/>
    <x v="4"/>
    <x v="0"/>
    <x v="0"/>
    <x v="3"/>
    <x v="0"/>
    <x v="28"/>
    <x v="8"/>
    <x v="1"/>
  </r>
  <r>
    <x v="561"/>
    <x v="560"/>
    <x v="0"/>
    <x v="2"/>
    <x v="2"/>
    <x v="2"/>
    <x v="0"/>
    <x v="1"/>
    <x v="56"/>
    <x v="8"/>
    <x v="0"/>
  </r>
  <r>
    <x v="562"/>
    <x v="561"/>
    <x v="0"/>
    <x v="0"/>
    <x v="1"/>
    <x v="1"/>
    <x v="4"/>
    <x v="1"/>
    <x v="13"/>
    <x v="9"/>
    <x v="0"/>
  </r>
  <r>
    <x v="563"/>
    <x v="562"/>
    <x v="1"/>
    <x v="0"/>
    <x v="0"/>
    <x v="1"/>
    <x v="1"/>
    <x v="0"/>
    <x v="89"/>
    <x v="3"/>
    <x v="1"/>
  </r>
  <r>
    <x v="564"/>
    <x v="563"/>
    <x v="1"/>
    <x v="1"/>
    <x v="4"/>
    <x v="3"/>
    <x v="2"/>
    <x v="0"/>
    <x v="43"/>
    <x v="1"/>
    <x v="0"/>
  </r>
  <r>
    <x v="565"/>
    <x v="564"/>
    <x v="0"/>
    <x v="0"/>
    <x v="3"/>
    <x v="2"/>
    <x v="2"/>
    <x v="1"/>
    <x v="95"/>
    <x v="2"/>
    <x v="1"/>
  </r>
  <r>
    <x v="566"/>
    <x v="565"/>
    <x v="0"/>
    <x v="3"/>
    <x v="3"/>
    <x v="1"/>
    <x v="1"/>
    <x v="1"/>
    <x v="57"/>
    <x v="2"/>
    <x v="0"/>
  </r>
  <r>
    <x v="567"/>
    <x v="566"/>
    <x v="0"/>
    <x v="2"/>
    <x v="4"/>
    <x v="3"/>
    <x v="4"/>
    <x v="0"/>
    <x v="59"/>
    <x v="6"/>
    <x v="0"/>
  </r>
  <r>
    <x v="568"/>
    <x v="567"/>
    <x v="1"/>
    <x v="1"/>
    <x v="4"/>
    <x v="1"/>
    <x v="1"/>
    <x v="1"/>
    <x v="10"/>
    <x v="7"/>
    <x v="0"/>
  </r>
  <r>
    <x v="569"/>
    <x v="568"/>
    <x v="1"/>
    <x v="1"/>
    <x v="0"/>
    <x v="3"/>
    <x v="4"/>
    <x v="0"/>
    <x v="7"/>
    <x v="7"/>
    <x v="1"/>
  </r>
  <r>
    <x v="570"/>
    <x v="569"/>
    <x v="1"/>
    <x v="4"/>
    <x v="3"/>
    <x v="2"/>
    <x v="3"/>
    <x v="0"/>
    <x v="21"/>
    <x v="5"/>
    <x v="0"/>
  </r>
  <r>
    <x v="571"/>
    <x v="570"/>
    <x v="0"/>
    <x v="4"/>
    <x v="2"/>
    <x v="1"/>
    <x v="0"/>
    <x v="1"/>
    <x v="49"/>
    <x v="1"/>
    <x v="1"/>
  </r>
  <r>
    <x v="572"/>
    <x v="571"/>
    <x v="1"/>
    <x v="0"/>
    <x v="0"/>
    <x v="2"/>
    <x v="1"/>
    <x v="0"/>
    <x v="33"/>
    <x v="7"/>
    <x v="1"/>
  </r>
  <r>
    <x v="573"/>
    <x v="572"/>
    <x v="1"/>
    <x v="3"/>
    <x v="2"/>
    <x v="0"/>
    <x v="3"/>
    <x v="1"/>
    <x v="97"/>
    <x v="9"/>
    <x v="0"/>
  </r>
  <r>
    <x v="574"/>
    <x v="573"/>
    <x v="0"/>
    <x v="4"/>
    <x v="0"/>
    <x v="3"/>
    <x v="2"/>
    <x v="1"/>
    <x v="52"/>
    <x v="6"/>
    <x v="1"/>
  </r>
  <r>
    <x v="575"/>
    <x v="574"/>
    <x v="1"/>
    <x v="0"/>
    <x v="4"/>
    <x v="3"/>
    <x v="2"/>
    <x v="0"/>
    <x v="5"/>
    <x v="7"/>
    <x v="1"/>
  </r>
  <r>
    <x v="576"/>
    <x v="575"/>
    <x v="0"/>
    <x v="1"/>
    <x v="2"/>
    <x v="1"/>
    <x v="0"/>
    <x v="0"/>
    <x v="53"/>
    <x v="7"/>
    <x v="0"/>
  </r>
  <r>
    <x v="577"/>
    <x v="576"/>
    <x v="0"/>
    <x v="0"/>
    <x v="3"/>
    <x v="2"/>
    <x v="1"/>
    <x v="1"/>
    <x v="40"/>
    <x v="1"/>
    <x v="1"/>
  </r>
  <r>
    <x v="578"/>
    <x v="577"/>
    <x v="1"/>
    <x v="0"/>
    <x v="0"/>
    <x v="2"/>
    <x v="2"/>
    <x v="0"/>
    <x v="78"/>
    <x v="0"/>
    <x v="1"/>
  </r>
  <r>
    <x v="579"/>
    <x v="578"/>
    <x v="0"/>
    <x v="0"/>
    <x v="0"/>
    <x v="2"/>
    <x v="2"/>
    <x v="0"/>
    <x v="56"/>
    <x v="2"/>
    <x v="0"/>
  </r>
  <r>
    <x v="580"/>
    <x v="579"/>
    <x v="0"/>
    <x v="0"/>
    <x v="0"/>
    <x v="1"/>
    <x v="3"/>
    <x v="0"/>
    <x v="7"/>
    <x v="6"/>
    <x v="1"/>
  </r>
  <r>
    <x v="581"/>
    <x v="580"/>
    <x v="1"/>
    <x v="0"/>
    <x v="0"/>
    <x v="2"/>
    <x v="4"/>
    <x v="0"/>
    <x v="23"/>
    <x v="8"/>
    <x v="0"/>
  </r>
  <r>
    <x v="582"/>
    <x v="581"/>
    <x v="0"/>
    <x v="1"/>
    <x v="4"/>
    <x v="3"/>
    <x v="1"/>
    <x v="0"/>
    <x v="27"/>
    <x v="8"/>
    <x v="0"/>
  </r>
  <r>
    <x v="583"/>
    <x v="582"/>
    <x v="0"/>
    <x v="2"/>
    <x v="0"/>
    <x v="0"/>
    <x v="4"/>
    <x v="0"/>
    <x v="76"/>
    <x v="2"/>
    <x v="0"/>
  </r>
  <r>
    <x v="584"/>
    <x v="583"/>
    <x v="1"/>
    <x v="2"/>
    <x v="3"/>
    <x v="2"/>
    <x v="2"/>
    <x v="1"/>
    <x v="98"/>
    <x v="1"/>
    <x v="1"/>
  </r>
  <r>
    <x v="585"/>
    <x v="584"/>
    <x v="0"/>
    <x v="4"/>
    <x v="0"/>
    <x v="1"/>
    <x v="4"/>
    <x v="0"/>
    <x v="0"/>
    <x v="4"/>
    <x v="0"/>
  </r>
  <r>
    <x v="586"/>
    <x v="585"/>
    <x v="0"/>
    <x v="1"/>
    <x v="1"/>
    <x v="1"/>
    <x v="0"/>
    <x v="1"/>
    <x v="84"/>
    <x v="3"/>
    <x v="0"/>
  </r>
  <r>
    <x v="587"/>
    <x v="586"/>
    <x v="0"/>
    <x v="0"/>
    <x v="4"/>
    <x v="1"/>
    <x v="2"/>
    <x v="1"/>
    <x v="29"/>
    <x v="0"/>
    <x v="0"/>
  </r>
  <r>
    <x v="588"/>
    <x v="587"/>
    <x v="0"/>
    <x v="1"/>
    <x v="4"/>
    <x v="1"/>
    <x v="0"/>
    <x v="0"/>
    <x v="15"/>
    <x v="0"/>
    <x v="1"/>
  </r>
  <r>
    <x v="589"/>
    <x v="588"/>
    <x v="1"/>
    <x v="0"/>
    <x v="0"/>
    <x v="0"/>
    <x v="3"/>
    <x v="1"/>
    <x v="74"/>
    <x v="3"/>
    <x v="0"/>
  </r>
  <r>
    <x v="590"/>
    <x v="589"/>
    <x v="0"/>
    <x v="2"/>
    <x v="0"/>
    <x v="2"/>
    <x v="3"/>
    <x v="1"/>
    <x v="24"/>
    <x v="1"/>
    <x v="0"/>
  </r>
  <r>
    <x v="591"/>
    <x v="590"/>
    <x v="1"/>
    <x v="1"/>
    <x v="2"/>
    <x v="1"/>
    <x v="1"/>
    <x v="0"/>
    <x v="26"/>
    <x v="2"/>
    <x v="1"/>
  </r>
  <r>
    <x v="592"/>
    <x v="591"/>
    <x v="1"/>
    <x v="1"/>
    <x v="1"/>
    <x v="0"/>
    <x v="1"/>
    <x v="0"/>
    <x v="41"/>
    <x v="9"/>
    <x v="1"/>
  </r>
  <r>
    <x v="593"/>
    <x v="592"/>
    <x v="1"/>
    <x v="4"/>
    <x v="0"/>
    <x v="3"/>
    <x v="2"/>
    <x v="1"/>
    <x v="75"/>
    <x v="7"/>
    <x v="0"/>
  </r>
  <r>
    <x v="594"/>
    <x v="593"/>
    <x v="1"/>
    <x v="4"/>
    <x v="1"/>
    <x v="0"/>
    <x v="3"/>
    <x v="0"/>
    <x v="85"/>
    <x v="7"/>
    <x v="1"/>
  </r>
  <r>
    <x v="595"/>
    <x v="594"/>
    <x v="1"/>
    <x v="1"/>
    <x v="1"/>
    <x v="3"/>
    <x v="2"/>
    <x v="0"/>
    <x v="64"/>
    <x v="9"/>
    <x v="0"/>
  </r>
  <r>
    <x v="596"/>
    <x v="595"/>
    <x v="0"/>
    <x v="3"/>
    <x v="3"/>
    <x v="0"/>
    <x v="1"/>
    <x v="1"/>
    <x v="23"/>
    <x v="8"/>
    <x v="0"/>
  </r>
  <r>
    <x v="597"/>
    <x v="596"/>
    <x v="1"/>
    <x v="3"/>
    <x v="2"/>
    <x v="1"/>
    <x v="4"/>
    <x v="1"/>
    <x v="5"/>
    <x v="7"/>
    <x v="1"/>
  </r>
  <r>
    <x v="598"/>
    <x v="597"/>
    <x v="1"/>
    <x v="0"/>
    <x v="4"/>
    <x v="0"/>
    <x v="0"/>
    <x v="0"/>
    <x v="26"/>
    <x v="9"/>
    <x v="1"/>
  </r>
  <r>
    <x v="599"/>
    <x v="598"/>
    <x v="0"/>
    <x v="4"/>
    <x v="3"/>
    <x v="0"/>
    <x v="2"/>
    <x v="1"/>
    <x v="9"/>
    <x v="8"/>
    <x v="1"/>
  </r>
  <r>
    <x v="600"/>
    <x v="599"/>
    <x v="1"/>
    <x v="2"/>
    <x v="1"/>
    <x v="1"/>
    <x v="0"/>
    <x v="0"/>
    <x v="90"/>
    <x v="0"/>
    <x v="1"/>
  </r>
  <r>
    <x v="601"/>
    <x v="600"/>
    <x v="1"/>
    <x v="4"/>
    <x v="2"/>
    <x v="1"/>
    <x v="1"/>
    <x v="0"/>
    <x v="95"/>
    <x v="8"/>
    <x v="1"/>
  </r>
  <r>
    <x v="602"/>
    <x v="601"/>
    <x v="0"/>
    <x v="0"/>
    <x v="3"/>
    <x v="0"/>
    <x v="4"/>
    <x v="1"/>
    <x v="75"/>
    <x v="8"/>
    <x v="0"/>
  </r>
  <r>
    <x v="603"/>
    <x v="602"/>
    <x v="0"/>
    <x v="1"/>
    <x v="1"/>
    <x v="1"/>
    <x v="3"/>
    <x v="0"/>
    <x v="75"/>
    <x v="0"/>
    <x v="0"/>
  </r>
  <r>
    <x v="604"/>
    <x v="603"/>
    <x v="0"/>
    <x v="2"/>
    <x v="2"/>
    <x v="2"/>
    <x v="1"/>
    <x v="1"/>
    <x v="60"/>
    <x v="2"/>
    <x v="1"/>
  </r>
  <r>
    <x v="605"/>
    <x v="604"/>
    <x v="1"/>
    <x v="3"/>
    <x v="2"/>
    <x v="2"/>
    <x v="4"/>
    <x v="1"/>
    <x v="70"/>
    <x v="7"/>
    <x v="0"/>
  </r>
  <r>
    <x v="606"/>
    <x v="605"/>
    <x v="1"/>
    <x v="2"/>
    <x v="4"/>
    <x v="0"/>
    <x v="2"/>
    <x v="0"/>
    <x v="4"/>
    <x v="2"/>
    <x v="0"/>
  </r>
  <r>
    <x v="607"/>
    <x v="606"/>
    <x v="1"/>
    <x v="2"/>
    <x v="1"/>
    <x v="3"/>
    <x v="3"/>
    <x v="0"/>
    <x v="18"/>
    <x v="6"/>
    <x v="0"/>
  </r>
  <r>
    <x v="608"/>
    <x v="607"/>
    <x v="1"/>
    <x v="0"/>
    <x v="4"/>
    <x v="0"/>
    <x v="2"/>
    <x v="0"/>
    <x v="73"/>
    <x v="0"/>
    <x v="0"/>
  </r>
  <r>
    <x v="609"/>
    <x v="608"/>
    <x v="1"/>
    <x v="1"/>
    <x v="3"/>
    <x v="0"/>
    <x v="4"/>
    <x v="0"/>
    <x v="71"/>
    <x v="0"/>
    <x v="1"/>
  </r>
  <r>
    <x v="610"/>
    <x v="609"/>
    <x v="1"/>
    <x v="0"/>
    <x v="1"/>
    <x v="2"/>
    <x v="4"/>
    <x v="0"/>
    <x v="64"/>
    <x v="5"/>
    <x v="0"/>
  </r>
  <r>
    <x v="611"/>
    <x v="610"/>
    <x v="1"/>
    <x v="3"/>
    <x v="0"/>
    <x v="1"/>
    <x v="1"/>
    <x v="0"/>
    <x v="52"/>
    <x v="2"/>
    <x v="1"/>
  </r>
  <r>
    <x v="612"/>
    <x v="611"/>
    <x v="1"/>
    <x v="4"/>
    <x v="0"/>
    <x v="1"/>
    <x v="1"/>
    <x v="1"/>
    <x v="93"/>
    <x v="8"/>
    <x v="1"/>
  </r>
  <r>
    <x v="613"/>
    <x v="612"/>
    <x v="0"/>
    <x v="4"/>
    <x v="3"/>
    <x v="0"/>
    <x v="4"/>
    <x v="0"/>
    <x v="25"/>
    <x v="5"/>
    <x v="1"/>
  </r>
  <r>
    <x v="614"/>
    <x v="613"/>
    <x v="0"/>
    <x v="0"/>
    <x v="0"/>
    <x v="2"/>
    <x v="1"/>
    <x v="1"/>
    <x v="38"/>
    <x v="5"/>
    <x v="0"/>
  </r>
  <r>
    <x v="615"/>
    <x v="614"/>
    <x v="0"/>
    <x v="4"/>
    <x v="0"/>
    <x v="3"/>
    <x v="2"/>
    <x v="0"/>
    <x v="85"/>
    <x v="3"/>
    <x v="1"/>
  </r>
  <r>
    <x v="616"/>
    <x v="615"/>
    <x v="0"/>
    <x v="1"/>
    <x v="3"/>
    <x v="1"/>
    <x v="4"/>
    <x v="1"/>
    <x v="23"/>
    <x v="6"/>
    <x v="0"/>
  </r>
  <r>
    <x v="617"/>
    <x v="616"/>
    <x v="1"/>
    <x v="4"/>
    <x v="0"/>
    <x v="0"/>
    <x v="3"/>
    <x v="0"/>
    <x v="61"/>
    <x v="1"/>
    <x v="0"/>
  </r>
  <r>
    <x v="618"/>
    <x v="617"/>
    <x v="0"/>
    <x v="2"/>
    <x v="3"/>
    <x v="2"/>
    <x v="1"/>
    <x v="0"/>
    <x v="24"/>
    <x v="2"/>
    <x v="0"/>
  </r>
  <r>
    <x v="619"/>
    <x v="618"/>
    <x v="0"/>
    <x v="0"/>
    <x v="3"/>
    <x v="0"/>
    <x v="4"/>
    <x v="1"/>
    <x v="56"/>
    <x v="4"/>
    <x v="0"/>
  </r>
  <r>
    <x v="620"/>
    <x v="619"/>
    <x v="0"/>
    <x v="4"/>
    <x v="4"/>
    <x v="0"/>
    <x v="0"/>
    <x v="1"/>
    <x v="42"/>
    <x v="7"/>
    <x v="1"/>
  </r>
  <r>
    <x v="621"/>
    <x v="620"/>
    <x v="0"/>
    <x v="0"/>
    <x v="1"/>
    <x v="0"/>
    <x v="1"/>
    <x v="1"/>
    <x v="6"/>
    <x v="7"/>
    <x v="0"/>
  </r>
  <r>
    <x v="622"/>
    <x v="621"/>
    <x v="1"/>
    <x v="2"/>
    <x v="1"/>
    <x v="0"/>
    <x v="1"/>
    <x v="1"/>
    <x v="79"/>
    <x v="7"/>
    <x v="1"/>
  </r>
  <r>
    <x v="623"/>
    <x v="622"/>
    <x v="0"/>
    <x v="0"/>
    <x v="2"/>
    <x v="2"/>
    <x v="4"/>
    <x v="1"/>
    <x v="66"/>
    <x v="6"/>
    <x v="0"/>
  </r>
  <r>
    <x v="624"/>
    <x v="623"/>
    <x v="0"/>
    <x v="2"/>
    <x v="1"/>
    <x v="3"/>
    <x v="4"/>
    <x v="0"/>
    <x v="30"/>
    <x v="1"/>
    <x v="1"/>
  </r>
  <r>
    <x v="625"/>
    <x v="624"/>
    <x v="0"/>
    <x v="0"/>
    <x v="3"/>
    <x v="3"/>
    <x v="1"/>
    <x v="1"/>
    <x v="7"/>
    <x v="6"/>
    <x v="1"/>
  </r>
  <r>
    <x v="626"/>
    <x v="625"/>
    <x v="1"/>
    <x v="0"/>
    <x v="1"/>
    <x v="3"/>
    <x v="0"/>
    <x v="0"/>
    <x v="14"/>
    <x v="8"/>
    <x v="1"/>
  </r>
  <r>
    <x v="627"/>
    <x v="626"/>
    <x v="0"/>
    <x v="4"/>
    <x v="3"/>
    <x v="0"/>
    <x v="4"/>
    <x v="0"/>
    <x v="86"/>
    <x v="8"/>
    <x v="1"/>
  </r>
  <r>
    <x v="628"/>
    <x v="627"/>
    <x v="0"/>
    <x v="0"/>
    <x v="2"/>
    <x v="2"/>
    <x v="3"/>
    <x v="0"/>
    <x v="2"/>
    <x v="2"/>
    <x v="1"/>
  </r>
  <r>
    <x v="629"/>
    <x v="628"/>
    <x v="0"/>
    <x v="3"/>
    <x v="3"/>
    <x v="0"/>
    <x v="0"/>
    <x v="0"/>
    <x v="46"/>
    <x v="0"/>
    <x v="0"/>
  </r>
  <r>
    <x v="630"/>
    <x v="629"/>
    <x v="0"/>
    <x v="3"/>
    <x v="2"/>
    <x v="3"/>
    <x v="3"/>
    <x v="1"/>
    <x v="66"/>
    <x v="1"/>
    <x v="0"/>
  </r>
  <r>
    <x v="631"/>
    <x v="630"/>
    <x v="1"/>
    <x v="2"/>
    <x v="4"/>
    <x v="2"/>
    <x v="1"/>
    <x v="1"/>
    <x v="28"/>
    <x v="6"/>
    <x v="1"/>
  </r>
  <r>
    <x v="632"/>
    <x v="631"/>
    <x v="1"/>
    <x v="3"/>
    <x v="2"/>
    <x v="2"/>
    <x v="1"/>
    <x v="0"/>
    <x v="73"/>
    <x v="9"/>
    <x v="0"/>
  </r>
  <r>
    <x v="633"/>
    <x v="632"/>
    <x v="0"/>
    <x v="2"/>
    <x v="1"/>
    <x v="3"/>
    <x v="2"/>
    <x v="0"/>
    <x v="49"/>
    <x v="1"/>
    <x v="1"/>
  </r>
  <r>
    <x v="634"/>
    <x v="633"/>
    <x v="0"/>
    <x v="2"/>
    <x v="4"/>
    <x v="1"/>
    <x v="0"/>
    <x v="0"/>
    <x v="6"/>
    <x v="3"/>
    <x v="0"/>
  </r>
  <r>
    <x v="635"/>
    <x v="634"/>
    <x v="0"/>
    <x v="0"/>
    <x v="1"/>
    <x v="3"/>
    <x v="3"/>
    <x v="1"/>
    <x v="4"/>
    <x v="5"/>
    <x v="0"/>
  </r>
  <r>
    <x v="636"/>
    <x v="635"/>
    <x v="1"/>
    <x v="3"/>
    <x v="3"/>
    <x v="0"/>
    <x v="3"/>
    <x v="0"/>
    <x v="7"/>
    <x v="5"/>
    <x v="1"/>
  </r>
  <r>
    <x v="637"/>
    <x v="636"/>
    <x v="0"/>
    <x v="1"/>
    <x v="4"/>
    <x v="2"/>
    <x v="3"/>
    <x v="1"/>
    <x v="36"/>
    <x v="5"/>
    <x v="0"/>
  </r>
  <r>
    <x v="638"/>
    <x v="637"/>
    <x v="0"/>
    <x v="0"/>
    <x v="3"/>
    <x v="0"/>
    <x v="0"/>
    <x v="0"/>
    <x v="42"/>
    <x v="8"/>
    <x v="1"/>
  </r>
  <r>
    <x v="639"/>
    <x v="638"/>
    <x v="0"/>
    <x v="2"/>
    <x v="1"/>
    <x v="0"/>
    <x v="0"/>
    <x v="0"/>
    <x v="77"/>
    <x v="6"/>
    <x v="1"/>
  </r>
  <r>
    <x v="640"/>
    <x v="639"/>
    <x v="0"/>
    <x v="0"/>
    <x v="1"/>
    <x v="1"/>
    <x v="2"/>
    <x v="1"/>
    <x v="19"/>
    <x v="5"/>
    <x v="0"/>
  </r>
  <r>
    <x v="641"/>
    <x v="640"/>
    <x v="1"/>
    <x v="0"/>
    <x v="3"/>
    <x v="1"/>
    <x v="1"/>
    <x v="0"/>
    <x v="96"/>
    <x v="8"/>
    <x v="0"/>
  </r>
  <r>
    <x v="642"/>
    <x v="641"/>
    <x v="1"/>
    <x v="4"/>
    <x v="3"/>
    <x v="3"/>
    <x v="1"/>
    <x v="1"/>
    <x v="24"/>
    <x v="6"/>
    <x v="0"/>
  </r>
  <r>
    <x v="643"/>
    <x v="642"/>
    <x v="0"/>
    <x v="1"/>
    <x v="0"/>
    <x v="3"/>
    <x v="4"/>
    <x v="1"/>
    <x v="3"/>
    <x v="5"/>
    <x v="1"/>
  </r>
  <r>
    <x v="644"/>
    <x v="643"/>
    <x v="0"/>
    <x v="2"/>
    <x v="3"/>
    <x v="0"/>
    <x v="2"/>
    <x v="0"/>
    <x v="60"/>
    <x v="3"/>
    <x v="1"/>
  </r>
  <r>
    <x v="645"/>
    <x v="644"/>
    <x v="1"/>
    <x v="1"/>
    <x v="4"/>
    <x v="3"/>
    <x v="1"/>
    <x v="1"/>
    <x v="46"/>
    <x v="3"/>
    <x v="0"/>
  </r>
  <r>
    <x v="646"/>
    <x v="645"/>
    <x v="0"/>
    <x v="3"/>
    <x v="4"/>
    <x v="2"/>
    <x v="2"/>
    <x v="1"/>
    <x v="85"/>
    <x v="4"/>
    <x v="1"/>
  </r>
  <r>
    <x v="647"/>
    <x v="646"/>
    <x v="1"/>
    <x v="1"/>
    <x v="4"/>
    <x v="0"/>
    <x v="1"/>
    <x v="0"/>
    <x v="28"/>
    <x v="8"/>
    <x v="1"/>
  </r>
  <r>
    <x v="648"/>
    <x v="647"/>
    <x v="1"/>
    <x v="1"/>
    <x v="4"/>
    <x v="1"/>
    <x v="3"/>
    <x v="1"/>
    <x v="76"/>
    <x v="0"/>
    <x v="0"/>
  </r>
  <r>
    <x v="649"/>
    <x v="648"/>
    <x v="0"/>
    <x v="0"/>
    <x v="1"/>
    <x v="3"/>
    <x v="0"/>
    <x v="0"/>
    <x v="81"/>
    <x v="3"/>
    <x v="1"/>
  </r>
  <r>
    <x v="650"/>
    <x v="649"/>
    <x v="1"/>
    <x v="0"/>
    <x v="2"/>
    <x v="1"/>
    <x v="3"/>
    <x v="1"/>
    <x v="57"/>
    <x v="1"/>
    <x v="0"/>
  </r>
  <r>
    <x v="651"/>
    <x v="650"/>
    <x v="1"/>
    <x v="0"/>
    <x v="1"/>
    <x v="3"/>
    <x v="2"/>
    <x v="1"/>
    <x v="68"/>
    <x v="0"/>
    <x v="0"/>
  </r>
  <r>
    <x v="652"/>
    <x v="651"/>
    <x v="0"/>
    <x v="1"/>
    <x v="2"/>
    <x v="3"/>
    <x v="4"/>
    <x v="0"/>
    <x v="66"/>
    <x v="6"/>
    <x v="0"/>
  </r>
  <r>
    <x v="653"/>
    <x v="652"/>
    <x v="0"/>
    <x v="2"/>
    <x v="1"/>
    <x v="1"/>
    <x v="3"/>
    <x v="1"/>
    <x v="21"/>
    <x v="0"/>
    <x v="0"/>
  </r>
  <r>
    <x v="654"/>
    <x v="653"/>
    <x v="1"/>
    <x v="0"/>
    <x v="3"/>
    <x v="1"/>
    <x v="4"/>
    <x v="0"/>
    <x v="45"/>
    <x v="3"/>
    <x v="0"/>
  </r>
  <r>
    <x v="655"/>
    <x v="654"/>
    <x v="1"/>
    <x v="1"/>
    <x v="1"/>
    <x v="2"/>
    <x v="3"/>
    <x v="1"/>
    <x v="9"/>
    <x v="0"/>
    <x v="1"/>
  </r>
  <r>
    <x v="656"/>
    <x v="188"/>
    <x v="1"/>
    <x v="4"/>
    <x v="3"/>
    <x v="2"/>
    <x v="2"/>
    <x v="0"/>
    <x v="0"/>
    <x v="6"/>
    <x v="0"/>
  </r>
  <r>
    <x v="657"/>
    <x v="655"/>
    <x v="1"/>
    <x v="3"/>
    <x v="4"/>
    <x v="0"/>
    <x v="0"/>
    <x v="0"/>
    <x v="68"/>
    <x v="4"/>
    <x v="0"/>
  </r>
  <r>
    <x v="658"/>
    <x v="656"/>
    <x v="0"/>
    <x v="0"/>
    <x v="4"/>
    <x v="1"/>
    <x v="0"/>
    <x v="1"/>
    <x v="5"/>
    <x v="7"/>
    <x v="1"/>
  </r>
  <r>
    <x v="659"/>
    <x v="657"/>
    <x v="1"/>
    <x v="2"/>
    <x v="0"/>
    <x v="1"/>
    <x v="1"/>
    <x v="1"/>
    <x v="96"/>
    <x v="4"/>
    <x v="0"/>
  </r>
  <r>
    <x v="660"/>
    <x v="658"/>
    <x v="0"/>
    <x v="1"/>
    <x v="1"/>
    <x v="1"/>
    <x v="1"/>
    <x v="0"/>
    <x v="0"/>
    <x v="6"/>
    <x v="0"/>
  </r>
  <r>
    <x v="661"/>
    <x v="659"/>
    <x v="1"/>
    <x v="0"/>
    <x v="1"/>
    <x v="1"/>
    <x v="3"/>
    <x v="1"/>
    <x v="94"/>
    <x v="7"/>
    <x v="1"/>
  </r>
  <r>
    <x v="662"/>
    <x v="660"/>
    <x v="1"/>
    <x v="2"/>
    <x v="2"/>
    <x v="1"/>
    <x v="0"/>
    <x v="1"/>
    <x v="63"/>
    <x v="4"/>
    <x v="0"/>
  </r>
  <r>
    <x v="663"/>
    <x v="661"/>
    <x v="1"/>
    <x v="2"/>
    <x v="0"/>
    <x v="3"/>
    <x v="3"/>
    <x v="1"/>
    <x v="79"/>
    <x v="5"/>
    <x v="1"/>
  </r>
  <r>
    <x v="664"/>
    <x v="662"/>
    <x v="1"/>
    <x v="3"/>
    <x v="1"/>
    <x v="2"/>
    <x v="3"/>
    <x v="0"/>
    <x v="92"/>
    <x v="6"/>
    <x v="1"/>
  </r>
  <r>
    <x v="665"/>
    <x v="663"/>
    <x v="0"/>
    <x v="4"/>
    <x v="2"/>
    <x v="1"/>
    <x v="0"/>
    <x v="1"/>
    <x v="89"/>
    <x v="3"/>
    <x v="1"/>
  </r>
  <r>
    <x v="666"/>
    <x v="664"/>
    <x v="1"/>
    <x v="2"/>
    <x v="0"/>
    <x v="2"/>
    <x v="4"/>
    <x v="1"/>
    <x v="30"/>
    <x v="3"/>
    <x v="1"/>
  </r>
  <r>
    <x v="667"/>
    <x v="665"/>
    <x v="1"/>
    <x v="3"/>
    <x v="0"/>
    <x v="2"/>
    <x v="2"/>
    <x v="1"/>
    <x v="44"/>
    <x v="1"/>
    <x v="0"/>
  </r>
  <r>
    <x v="668"/>
    <x v="666"/>
    <x v="0"/>
    <x v="2"/>
    <x v="0"/>
    <x v="3"/>
    <x v="4"/>
    <x v="0"/>
    <x v="1"/>
    <x v="3"/>
    <x v="1"/>
  </r>
  <r>
    <x v="669"/>
    <x v="667"/>
    <x v="1"/>
    <x v="1"/>
    <x v="1"/>
    <x v="3"/>
    <x v="0"/>
    <x v="1"/>
    <x v="21"/>
    <x v="9"/>
    <x v="0"/>
  </r>
  <r>
    <x v="670"/>
    <x v="668"/>
    <x v="1"/>
    <x v="3"/>
    <x v="2"/>
    <x v="0"/>
    <x v="0"/>
    <x v="1"/>
    <x v="93"/>
    <x v="6"/>
    <x v="1"/>
  </r>
  <r>
    <x v="671"/>
    <x v="669"/>
    <x v="1"/>
    <x v="4"/>
    <x v="4"/>
    <x v="2"/>
    <x v="4"/>
    <x v="0"/>
    <x v="44"/>
    <x v="8"/>
    <x v="0"/>
  </r>
  <r>
    <x v="672"/>
    <x v="670"/>
    <x v="0"/>
    <x v="2"/>
    <x v="0"/>
    <x v="2"/>
    <x v="3"/>
    <x v="1"/>
    <x v="13"/>
    <x v="9"/>
    <x v="0"/>
  </r>
  <r>
    <x v="673"/>
    <x v="671"/>
    <x v="0"/>
    <x v="1"/>
    <x v="2"/>
    <x v="3"/>
    <x v="0"/>
    <x v="0"/>
    <x v="76"/>
    <x v="5"/>
    <x v="0"/>
  </r>
  <r>
    <x v="674"/>
    <x v="672"/>
    <x v="0"/>
    <x v="2"/>
    <x v="4"/>
    <x v="2"/>
    <x v="0"/>
    <x v="0"/>
    <x v="56"/>
    <x v="5"/>
    <x v="0"/>
  </r>
  <r>
    <x v="675"/>
    <x v="673"/>
    <x v="1"/>
    <x v="3"/>
    <x v="0"/>
    <x v="2"/>
    <x v="2"/>
    <x v="1"/>
    <x v="36"/>
    <x v="0"/>
    <x v="0"/>
  </r>
  <r>
    <x v="676"/>
    <x v="674"/>
    <x v="1"/>
    <x v="0"/>
    <x v="3"/>
    <x v="1"/>
    <x v="2"/>
    <x v="0"/>
    <x v="9"/>
    <x v="0"/>
    <x v="1"/>
  </r>
  <r>
    <x v="677"/>
    <x v="675"/>
    <x v="1"/>
    <x v="1"/>
    <x v="2"/>
    <x v="1"/>
    <x v="1"/>
    <x v="1"/>
    <x v="76"/>
    <x v="6"/>
    <x v="0"/>
  </r>
  <r>
    <x v="678"/>
    <x v="676"/>
    <x v="0"/>
    <x v="3"/>
    <x v="0"/>
    <x v="0"/>
    <x v="4"/>
    <x v="0"/>
    <x v="65"/>
    <x v="7"/>
    <x v="1"/>
  </r>
  <r>
    <x v="679"/>
    <x v="677"/>
    <x v="1"/>
    <x v="1"/>
    <x v="2"/>
    <x v="0"/>
    <x v="3"/>
    <x v="0"/>
    <x v="40"/>
    <x v="6"/>
    <x v="1"/>
  </r>
  <r>
    <x v="680"/>
    <x v="678"/>
    <x v="1"/>
    <x v="3"/>
    <x v="4"/>
    <x v="2"/>
    <x v="1"/>
    <x v="0"/>
    <x v="19"/>
    <x v="6"/>
    <x v="0"/>
  </r>
  <r>
    <x v="681"/>
    <x v="679"/>
    <x v="0"/>
    <x v="4"/>
    <x v="2"/>
    <x v="1"/>
    <x v="2"/>
    <x v="1"/>
    <x v="2"/>
    <x v="1"/>
    <x v="1"/>
  </r>
  <r>
    <x v="682"/>
    <x v="680"/>
    <x v="1"/>
    <x v="4"/>
    <x v="1"/>
    <x v="3"/>
    <x v="2"/>
    <x v="1"/>
    <x v="77"/>
    <x v="5"/>
    <x v="1"/>
  </r>
  <r>
    <x v="683"/>
    <x v="681"/>
    <x v="1"/>
    <x v="3"/>
    <x v="0"/>
    <x v="2"/>
    <x v="4"/>
    <x v="1"/>
    <x v="82"/>
    <x v="4"/>
    <x v="1"/>
  </r>
  <r>
    <x v="684"/>
    <x v="682"/>
    <x v="1"/>
    <x v="2"/>
    <x v="2"/>
    <x v="3"/>
    <x v="4"/>
    <x v="1"/>
    <x v="57"/>
    <x v="6"/>
    <x v="0"/>
  </r>
  <r>
    <x v="685"/>
    <x v="683"/>
    <x v="1"/>
    <x v="1"/>
    <x v="4"/>
    <x v="2"/>
    <x v="1"/>
    <x v="0"/>
    <x v="64"/>
    <x v="6"/>
    <x v="0"/>
  </r>
  <r>
    <x v="686"/>
    <x v="684"/>
    <x v="1"/>
    <x v="4"/>
    <x v="2"/>
    <x v="2"/>
    <x v="2"/>
    <x v="1"/>
    <x v="98"/>
    <x v="7"/>
    <x v="1"/>
  </r>
  <r>
    <x v="687"/>
    <x v="685"/>
    <x v="1"/>
    <x v="1"/>
    <x v="3"/>
    <x v="3"/>
    <x v="1"/>
    <x v="1"/>
    <x v="31"/>
    <x v="5"/>
    <x v="1"/>
  </r>
  <r>
    <x v="688"/>
    <x v="686"/>
    <x v="1"/>
    <x v="3"/>
    <x v="2"/>
    <x v="2"/>
    <x v="2"/>
    <x v="0"/>
    <x v="61"/>
    <x v="4"/>
    <x v="0"/>
  </r>
  <r>
    <x v="689"/>
    <x v="687"/>
    <x v="0"/>
    <x v="2"/>
    <x v="3"/>
    <x v="2"/>
    <x v="4"/>
    <x v="0"/>
    <x v="19"/>
    <x v="5"/>
    <x v="0"/>
  </r>
  <r>
    <x v="690"/>
    <x v="688"/>
    <x v="0"/>
    <x v="0"/>
    <x v="4"/>
    <x v="1"/>
    <x v="4"/>
    <x v="1"/>
    <x v="77"/>
    <x v="4"/>
    <x v="1"/>
  </r>
  <r>
    <x v="691"/>
    <x v="689"/>
    <x v="0"/>
    <x v="0"/>
    <x v="3"/>
    <x v="1"/>
    <x v="3"/>
    <x v="0"/>
    <x v="26"/>
    <x v="5"/>
    <x v="1"/>
  </r>
  <r>
    <x v="692"/>
    <x v="690"/>
    <x v="0"/>
    <x v="2"/>
    <x v="0"/>
    <x v="0"/>
    <x v="2"/>
    <x v="1"/>
    <x v="41"/>
    <x v="2"/>
    <x v="1"/>
  </r>
  <r>
    <x v="693"/>
    <x v="691"/>
    <x v="0"/>
    <x v="4"/>
    <x v="2"/>
    <x v="2"/>
    <x v="0"/>
    <x v="1"/>
    <x v="86"/>
    <x v="3"/>
    <x v="1"/>
  </r>
  <r>
    <x v="694"/>
    <x v="692"/>
    <x v="0"/>
    <x v="1"/>
    <x v="4"/>
    <x v="0"/>
    <x v="1"/>
    <x v="1"/>
    <x v="55"/>
    <x v="3"/>
    <x v="0"/>
  </r>
  <r>
    <x v="695"/>
    <x v="693"/>
    <x v="1"/>
    <x v="3"/>
    <x v="0"/>
    <x v="2"/>
    <x v="2"/>
    <x v="0"/>
    <x v="5"/>
    <x v="8"/>
    <x v="1"/>
  </r>
  <r>
    <x v="696"/>
    <x v="694"/>
    <x v="1"/>
    <x v="2"/>
    <x v="2"/>
    <x v="3"/>
    <x v="0"/>
    <x v="1"/>
    <x v="60"/>
    <x v="9"/>
    <x v="1"/>
  </r>
  <r>
    <x v="697"/>
    <x v="695"/>
    <x v="0"/>
    <x v="1"/>
    <x v="3"/>
    <x v="0"/>
    <x v="1"/>
    <x v="1"/>
    <x v="91"/>
    <x v="4"/>
    <x v="0"/>
  </r>
  <r>
    <x v="698"/>
    <x v="696"/>
    <x v="1"/>
    <x v="1"/>
    <x v="1"/>
    <x v="0"/>
    <x v="0"/>
    <x v="0"/>
    <x v="48"/>
    <x v="7"/>
    <x v="1"/>
  </r>
  <r>
    <x v="699"/>
    <x v="697"/>
    <x v="0"/>
    <x v="0"/>
    <x v="1"/>
    <x v="1"/>
    <x v="3"/>
    <x v="0"/>
    <x v="44"/>
    <x v="4"/>
    <x v="0"/>
  </r>
  <r>
    <x v="700"/>
    <x v="698"/>
    <x v="0"/>
    <x v="3"/>
    <x v="3"/>
    <x v="3"/>
    <x v="2"/>
    <x v="1"/>
    <x v="29"/>
    <x v="8"/>
    <x v="0"/>
  </r>
  <r>
    <x v="701"/>
    <x v="699"/>
    <x v="1"/>
    <x v="0"/>
    <x v="2"/>
    <x v="2"/>
    <x v="2"/>
    <x v="1"/>
    <x v="17"/>
    <x v="0"/>
    <x v="0"/>
  </r>
  <r>
    <x v="702"/>
    <x v="700"/>
    <x v="1"/>
    <x v="0"/>
    <x v="3"/>
    <x v="3"/>
    <x v="2"/>
    <x v="0"/>
    <x v="59"/>
    <x v="1"/>
    <x v="0"/>
  </r>
  <r>
    <x v="703"/>
    <x v="701"/>
    <x v="0"/>
    <x v="2"/>
    <x v="0"/>
    <x v="3"/>
    <x v="1"/>
    <x v="1"/>
    <x v="37"/>
    <x v="3"/>
    <x v="1"/>
  </r>
  <r>
    <x v="704"/>
    <x v="702"/>
    <x v="0"/>
    <x v="0"/>
    <x v="3"/>
    <x v="3"/>
    <x v="1"/>
    <x v="1"/>
    <x v="69"/>
    <x v="8"/>
    <x v="0"/>
  </r>
  <r>
    <x v="705"/>
    <x v="703"/>
    <x v="1"/>
    <x v="4"/>
    <x v="3"/>
    <x v="1"/>
    <x v="4"/>
    <x v="1"/>
    <x v="5"/>
    <x v="3"/>
    <x v="1"/>
  </r>
  <r>
    <x v="706"/>
    <x v="704"/>
    <x v="1"/>
    <x v="0"/>
    <x v="2"/>
    <x v="3"/>
    <x v="3"/>
    <x v="1"/>
    <x v="26"/>
    <x v="8"/>
    <x v="1"/>
  </r>
  <r>
    <x v="707"/>
    <x v="705"/>
    <x v="1"/>
    <x v="4"/>
    <x v="0"/>
    <x v="3"/>
    <x v="1"/>
    <x v="1"/>
    <x v="7"/>
    <x v="8"/>
    <x v="1"/>
  </r>
  <r>
    <x v="708"/>
    <x v="706"/>
    <x v="0"/>
    <x v="3"/>
    <x v="1"/>
    <x v="0"/>
    <x v="1"/>
    <x v="1"/>
    <x v="60"/>
    <x v="6"/>
    <x v="1"/>
  </r>
  <r>
    <x v="709"/>
    <x v="707"/>
    <x v="0"/>
    <x v="3"/>
    <x v="1"/>
    <x v="3"/>
    <x v="4"/>
    <x v="0"/>
    <x v="70"/>
    <x v="9"/>
    <x v="0"/>
  </r>
  <r>
    <x v="710"/>
    <x v="708"/>
    <x v="0"/>
    <x v="3"/>
    <x v="1"/>
    <x v="2"/>
    <x v="4"/>
    <x v="0"/>
    <x v="39"/>
    <x v="3"/>
    <x v="0"/>
  </r>
  <r>
    <x v="711"/>
    <x v="709"/>
    <x v="1"/>
    <x v="3"/>
    <x v="4"/>
    <x v="2"/>
    <x v="2"/>
    <x v="1"/>
    <x v="13"/>
    <x v="2"/>
    <x v="0"/>
  </r>
  <r>
    <x v="712"/>
    <x v="710"/>
    <x v="0"/>
    <x v="0"/>
    <x v="0"/>
    <x v="1"/>
    <x v="1"/>
    <x v="0"/>
    <x v="80"/>
    <x v="8"/>
    <x v="1"/>
  </r>
  <r>
    <x v="713"/>
    <x v="711"/>
    <x v="1"/>
    <x v="4"/>
    <x v="2"/>
    <x v="0"/>
    <x v="1"/>
    <x v="0"/>
    <x v="7"/>
    <x v="3"/>
    <x v="1"/>
  </r>
  <r>
    <x v="714"/>
    <x v="712"/>
    <x v="1"/>
    <x v="2"/>
    <x v="1"/>
    <x v="2"/>
    <x v="1"/>
    <x v="1"/>
    <x v="21"/>
    <x v="7"/>
    <x v="0"/>
  </r>
  <r>
    <x v="715"/>
    <x v="713"/>
    <x v="0"/>
    <x v="0"/>
    <x v="4"/>
    <x v="3"/>
    <x v="3"/>
    <x v="1"/>
    <x v="72"/>
    <x v="2"/>
    <x v="0"/>
  </r>
  <r>
    <x v="716"/>
    <x v="714"/>
    <x v="0"/>
    <x v="1"/>
    <x v="0"/>
    <x v="0"/>
    <x v="2"/>
    <x v="0"/>
    <x v="95"/>
    <x v="9"/>
    <x v="1"/>
  </r>
  <r>
    <x v="717"/>
    <x v="715"/>
    <x v="1"/>
    <x v="0"/>
    <x v="1"/>
    <x v="1"/>
    <x v="3"/>
    <x v="0"/>
    <x v="63"/>
    <x v="1"/>
    <x v="0"/>
  </r>
  <r>
    <x v="718"/>
    <x v="716"/>
    <x v="0"/>
    <x v="2"/>
    <x v="0"/>
    <x v="0"/>
    <x v="3"/>
    <x v="1"/>
    <x v="13"/>
    <x v="7"/>
    <x v="0"/>
  </r>
  <r>
    <x v="719"/>
    <x v="717"/>
    <x v="1"/>
    <x v="0"/>
    <x v="3"/>
    <x v="1"/>
    <x v="2"/>
    <x v="0"/>
    <x v="51"/>
    <x v="8"/>
    <x v="1"/>
  </r>
  <r>
    <x v="720"/>
    <x v="718"/>
    <x v="0"/>
    <x v="4"/>
    <x v="4"/>
    <x v="2"/>
    <x v="0"/>
    <x v="0"/>
    <x v="91"/>
    <x v="9"/>
    <x v="0"/>
  </r>
  <r>
    <x v="721"/>
    <x v="719"/>
    <x v="0"/>
    <x v="0"/>
    <x v="4"/>
    <x v="1"/>
    <x v="3"/>
    <x v="1"/>
    <x v="10"/>
    <x v="9"/>
    <x v="0"/>
  </r>
  <r>
    <x v="722"/>
    <x v="720"/>
    <x v="1"/>
    <x v="2"/>
    <x v="0"/>
    <x v="0"/>
    <x v="0"/>
    <x v="1"/>
    <x v="28"/>
    <x v="4"/>
    <x v="1"/>
  </r>
  <r>
    <x v="723"/>
    <x v="721"/>
    <x v="0"/>
    <x v="4"/>
    <x v="2"/>
    <x v="1"/>
    <x v="0"/>
    <x v="0"/>
    <x v="89"/>
    <x v="1"/>
    <x v="1"/>
  </r>
  <r>
    <x v="724"/>
    <x v="722"/>
    <x v="0"/>
    <x v="4"/>
    <x v="2"/>
    <x v="2"/>
    <x v="0"/>
    <x v="0"/>
    <x v="83"/>
    <x v="9"/>
    <x v="1"/>
  </r>
  <r>
    <x v="725"/>
    <x v="723"/>
    <x v="1"/>
    <x v="1"/>
    <x v="3"/>
    <x v="0"/>
    <x v="3"/>
    <x v="1"/>
    <x v="3"/>
    <x v="2"/>
    <x v="1"/>
  </r>
  <r>
    <x v="726"/>
    <x v="724"/>
    <x v="0"/>
    <x v="0"/>
    <x v="2"/>
    <x v="2"/>
    <x v="3"/>
    <x v="1"/>
    <x v="93"/>
    <x v="7"/>
    <x v="1"/>
  </r>
  <r>
    <x v="727"/>
    <x v="725"/>
    <x v="0"/>
    <x v="4"/>
    <x v="3"/>
    <x v="1"/>
    <x v="3"/>
    <x v="1"/>
    <x v="5"/>
    <x v="8"/>
    <x v="1"/>
  </r>
  <r>
    <x v="728"/>
    <x v="726"/>
    <x v="1"/>
    <x v="4"/>
    <x v="0"/>
    <x v="3"/>
    <x v="0"/>
    <x v="0"/>
    <x v="42"/>
    <x v="6"/>
    <x v="1"/>
  </r>
  <r>
    <x v="729"/>
    <x v="727"/>
    <x v="0"/>
    <x v="3"/>
    <x v="3"/>
    <x v="3"/>
    <x v="4"/>
    <x v="0"/>
    <x v="22"/>
    <x v="9"/>
    <x v="1"/>
  </r>
  <r>
    <x v="730"/>
    <x v="728"/>
    <x v="1"/>
    <x v="4"/>
    <x v="0"/>
    <x v="2"/>
    <x v="4"/>
    <x v="1"/>
    <x v="30"/>
    <x v="7"/>
    <x v="1"/>
  </r>
  <r>
    <x v="731"/>
    <x v="729"/>
    <x v="0"/>
    <x v="3"/>
    <x v="1"/>
    <x v="1"/>
    <x v="1"/>
    <x v="1"/>
    <x v="93"/>
    <x v="7"/>
    <x v="1"/>
  </r>
  <r>
    <x v="732"/>
    <x v="730"/>
    <x v="0"/>
    <x v="0"/>
    <x v="4"/>
    <x v="1"/>
    <x v="2"/>
    <x v="1"/>
    <x v="59"/>
    <x v="6"/>
    <x v="0"/>
  </r>
  <r>
    <x v="733"/>
    <x v="731"/>
    <x v="0"/>
    <x v="2"/>
    <x v="2"/>
    <x v="3"/>
    <x v="2"/>
    <x v="1"/>
    <x v="33"/>
    <x v="2"/>
    <x v="1"/>
  </r>
  <r>
    <x v="734"/>
    <x v="732"/>
    <x v="1"/>
    <x v="1"/>
    <x v="1"/>
    <x v="3"/>
    <x v="1"/>
    <x v="0"/>
    <x v="71"/>
    <x v="5"/>
    <x v="1"/>
  </r>
  <r>
    <x v="735"/>
    <x v="733"/>
    <x v="0"/>
    <x v="3"/>
    <x v="4"/>
    <x v="1"/>
    <x v="1"/>
    <x v="0"/>
    <x v="94"/>
    <x v="5"/>
    <x v="1"/>
  </r>
  <r>
    <x v="736"/>
    <x v="734"/>
    <x v="0"/>
    <x v="1"/>
    <x v="1"/>
    <x v="1"/>
    <x v="0"/>
    <x v="0"/>
    <x v="51"/>
    <x v="3"/>
    <x v="1"/>
  </r>
  <r>
    <x v="737"/>
    <x v="735"/>
    <x v="1"/>
    <x v="3"/>
    <x v="1"/>
    <x v="1"/>
    <x v="4"/>
    <x v="1"/>
    <x v="63"/>
    <x v="8"/>
    <x v="0"/>
  </r>
  <r>
    <x v="738"/>
    <x v="736"/>
    <x v="1"/>
    <x v="4"/>
    <x v="2"/>
    <x v="3"/>
    <x v="3"/>
    <x v="1"/>
    <x v="10"/>
    <x v="1"/>
    <x v="0"/>
  </r>
  <r>
    <x v="739"/>
    <x v="737"/>
    <x v="1"/>
    <x v="2"/>
    <x v="3"/>
    <x v="1"/>
    <x v="4"/>
    <x v="0"/>
    <x v="96"/>
    <x v="5"/>
    <x v="0"/>
  </r>
  <r>
    <x v="740"/>
    <x v="738"/>
    <x v="0"/>
    <x v="2"/>
    <x v="0"/>
    <x v="0"/>
    <x v="4"/>
    <x v="1"/>
    <x v="15"/>
    <x v="3"/>
    <x v="1"/>
  </r>
  <r>
    <x v="741"/>
    <x v="739"/>
    <x v="1"/>
    <x v="3"/>
    <x v="3"/>
    <x v="1"/>
    <x v="0"/>
    <x v="0"/>
    <x v="59"/>
    <x v="9"/>
    <x v="0"/>
  </r>
  <r>
    <x v="742"/>
    <x v="740"/>
    <x v="0"/>
    <x v="0"/>
    <x v="3"/>
    <x v="2"/>
    <x v="1"/>
    <x v="1"/>
    <x v="79"/>
    <x v="1"/>
    <x v="1"/>
  </r>
  <r>
    <x v="743"/>
    <x v="741"/>
    <x v="1"/>
    <x v="3"/>
    <x v="1"/>
    <x v="1"/>
    <x v="4"/>
    <x v="0"/>
    <x v="54"/>
    <x v="8"/>
    <x v="0"/>
  </r>
  <r>
    <x v="744"/>
    <x v="742"/>
    <x v="0"/>
    <x v="4"/>
    <x v="4"/>
    <x v="2"/>
    <x v="0"/>
    <x v="1"/>
    <x v="82"/>
    <x v="6"/>
    <x v="1"/>
  </r>
  <r>
    <x v="745"/>
    <x v="743"/>
    <x v="0"/>
    <x v="3"/>
    <x v="0"/>
    <x v="1"/>
    <x v="4"/>
    <x v="0"/>
    <x v="27"/>
    <x v="0"/>
    <x v="0"/>
  </r>
  <r>
    <x v="746"/>
    <x v="744"/>
    <x v="1"/>
    <x v="4"/>
    <x v="0"/>
    <x v="2"/>
    <x v="0"/>
    <x v="1"/>
    <x v="7"/>
    <x v="3"/>
    <x v="1"/>
  </r>
  <r>
    <x v="747"/>
    <x v="745"/>
    <x v="0"/>
    <x v="4"/>
    <x v="1"/>
    <x v="0"/>
    <x v="3"/>
    <x v="0"/>
    <x v="11"/>
    <x v="9"/>
    <x v="1"/>
  </r>
  <r>
    <x v="748"/>
    <x v="746"/>
    <x v="0"/>
    <x v="3"/>
    <x v="1"/>
    <x v="0"/>
    <x v="4"/>
    <x v="1"/>
    <x v="94"/>
    <x v="2"/>
    <x v="1"/>
  </r>
  <r>
    <x v="749"/>
    <x v="747"/>
    <x v="1"/>
    <x v="3"/>
    <x v="1"/>
    <x v="1"/>
    <x v="3"/>
    <x v="0"/>
    <x v="98"/>
    <x v="4"/>
    <x v="1"/>
  </r>
  <r>
    <x v="750"/>
    <x v="748"/>
    <x v="0"/>
    <x v="3"/>
    <x v="0"/>
    <x v="2"/>
    <x v="4"/>
    <x v="1"/>
    <x v="48"/>
    <x v="1"/>
    <x v="1"/>
  </r>
  <r>
    <x v="751"/>
    <x v="749"/>
    <x v="1"/>
    <x v="3"/>
    <x v="1"/>
    <x v="3"/>
    <x v="2"/>
    <x v="0"/>
    <x v="85"/>
    <x v="6"/>
    <x v="1"/>
  </r>
  <r>
    <x v="752"/>
    <x v="750"/>
    <x v="1"/>
    <x v="4"/>
    <x v="4"/>
    <x v="2"/>
    <x v="3"/>
    <x v="0"/>
    <x v="91"/>
    <x v="5"/>
    <x v="0"/>
  </r>
  <r>
    <x v="753"/>
    <x v="751"/>
    <x v="0"/>
    <x v="0"/>
    <x v="0"/>
    <x v="0"/>
    <x v="4"/>
    <x v="0"/>
    <x v="24"/>
    <x v="1"/>
    <x v="0"/>
  </r>
  <r>
    <x v="754"/>
    <x v="752"/>
    <x v="0"/>
    <x v="1"/>
    <x v="4"/>
    <x v="3"/>
    <x v="3"/>
    <x v="0"/>
    <x v="80"/>
    <x v="3"/>
    <x v="1"/>
  </r>
  <r>
    <x v="755"/>
    <x v="753"/>
    <x v="1"/>
    <x v="3"/>
    <x v="0"/>
    <x v="1"/>
    <x v="3"/>
    <x v="0"/>
    <x v="90"/>
    <x v="1"/>
    <x v="1"/>
  </r>
  <r>
    <x v="756"/>
    <x v="754"/>
    <x v="0"/>
    <x v="4"/>
    <x v="3"/>
    <x v="2"/>
    <x v="0"/>
    <x v="1"/>
    <x v="73"/>
    <x v="5"/>
    <x v="0"/>
  </r>
  <r>
    <x v="757"/>
    <x v="755"/>
    <x v="0"/>
    <x v="1"/>
    <x v="3"/>
    <x v="3"/>
    <x v="4"/>
    <x v="0"/>
    <x v="95"/>
    <x v="3"/>
    <x v="1"/>
  </r>
  <r>
    <x v="758"/>
    <x v="756"/>
    <x v="0"/>
    <x v="0"/>
    <x v="1"/>
    <x v="2"/>
    <x v="3"/>
    <x v="0"/>
    <x v="50"/>
    <x v="9"/>
    <x v="1"/>
  </r>
  <r>
    <x v="759"/>
    <x v="757"/>
    <x v="1"/>
    <x v="4"/>
    <x v="2"/>
    <x v="3"/>
    <x v="4"/>
    <x v="1"/>
    <x v="50"/>
    <x v="8"/>
    <x v="1"/>
  </r>
  <r>
    <x v="760"/>
    <x v="758"/>
    <x v="1"/>
    <x v="0"/>
    <x v="3"/>
    <x v="0"/>
    <x v="3"/>
    <x v="0"/>
    <x v="15"/>
    <x v="5"/>
    <x v="1"/>
  </r>
  <r>
    <x v="761"/>
    <x v="759"/>
    <x v="0"/>
    <x v="2"/>
    <x v="1"/>
    <x v="0"/>
    <x v="1"/>
    <x v="0"/>
    <x v="24"/>
    <x v="5"/>
    <x v="0"/>
  </r>
  <r>
    <x v="762"/>
    <x v="760"/>
    <x v="1"/>
    <x v="1"/>
    <x v="3"/>
    <x v="2"/>
    <x v="2"/>
    <x v="0"/>
    <x v="59"/>
    <x v="5"/>
    <x v="0"/>
  </r>
  <r>
    <x v="763"/>
    <x v="761"/>
    <x v="0"/>
    <x v="2"/>
    <x v="3"/>
    <x v="2"/>
    <x v="0"/>
    <x v="0"/>
    <x v="37"/>
    <x v="7"/>
    <x v="1"/>
  </r>
  <r>
    <x v="764"/>
    <x v="762"/>
    <x v="1"/>
    <x v="0"/>
    <x v="4"/>
    <x v="1"/>
    <x v="0"/>
    <x v="1"/>
    <x v="43"/>
    <x v="1"/>
    <x v="0"/>
  </r>
  <r>
    <x v="765"/>
    <x v="763"/>
    <x v="1"/>
    <x v="3"/>
    <x v="2"/>
    <x v="2"/>
    <x v="1"/>
    <x v="1"/>
    <x v="4"/>
    <x v="3"/>
    <x v="0"/>
  </r>
  <r>
    <x v="766"/>
    <x v="764"/>
    <x v="1"/>
    <x v="4"/>
    <x v="4"/>
    <x v="1"/>
    <x v="3"/>
    <x v="0"/>
    <x v="59"/>
    <x v="5"/>
    <x v="0"/>
  </r>
  <r>
    <x v="767"/>
    <x v="765"/>
    <x v="1"/>
    <x v="0"/>
    <x v="4"/>
    <x v="3"/>
    <x v="0"/>
    <x v="0"/>
    <x v="23"/>
    <x v="0"/>
    <x v="0"/>
  </r>
  <r>
    <x v="768"/>
    <x v="766"/>
    <x v="0"/>
    <x v="3"/>
    <x v="0"/>
    <x v="3"/>
    <x v="1"/>
    <x v="0"/>
    <x v="40"/>
    <x v="8"/>
    <x v="1"/>
  </r>
  <r>
    <x v="769"/>
    <x v="767"/>
    <x v="0"/>
    <x v="4"/>
    <x v="0"/>
    <x v="1"/>
    <x v="3"/>
    <x v="1"/>
    <x v="5"/>
    <x v="1"/>
    <x v="1"/>
  </r>
  <r>
    <x v="770"/>
    <x v="768"/>
    <x v="0"/>
    <x v="1"/>
    <x v="3"/>
    <x v="3"/>
    <x v="4"/>
    <x v="0"/>
    <x v="23"/>
    <x v="6"/>
    <x v="0"/>
  </r>
  <r>
    <x v="771"/>
    <x v="769"/>
    <x v="0"/>
    <x v="4"/>
    <x v="0"/>
    <x v="1"/>
    <x v="3"/>
    <x v="0"/>
    <x v="62"/>
    <x v="2"/>
    <x v="1"/>
  </r>
  <r>
    <x v="772"/>
    <x v="770"/>
    <x v="1"/>
    <x v="2"/>
    <x v="2"/>
    <x v="2"/>
    <x v="4"/>
    <x v="0"/>
    <x v="0"/>
    <x v="8"/>
    <x v="0"/>
  </r>
  <r>
    <x v="773"/>
    <x v="771"/>
    <x v="1"/>
    <x v="0"/>
    <x v="3"/>
    <x v="3"/>
    <x v="4"/>
    <x v="0"/>
    <x v="53"/>
    <x v="8"/>
    <x v="0"/>
  </r>
  <r>
    <x v="774"/>
    <x v="772"/>
    <x v="0"/>
    <x v="1"/>
    <x v="1"/>
    <x v="0"/>
    <x v="3"/>
    <x v="1"/>
    <x v="62"/>
    <x v="6"/>
    <x v="1"/>
  </r>
  <r>
    <x v="775"/>
    <x v="773"/>
    <x v="0"/>
    <x v="0"/>
    <x v="1"/>
    <x v="2"/>
    <x v="4"/>
    <x v="0"/>
    <x v="91"/>
    <x v="1"/>
    <x v="0"/>
  </r>
  <r>
    <x v="776"/>
    <x v="774"/>
    <x v="1"/>
    <x v="2"/>
    <x v="4"/>
    <x v="3"/>
    <x v="1"/>
    <x v="1"/>
    <x v="52"/>
    <x v="7"/>
    <x v="1"/>
  </r>
  <r>
    <x v="777"/>
    <x v="775"/>
    <x v="0"/>
    <x v="1"/>
    <x v="4"/>
    <x v="2"/>
    <x v="1"/>
    <x v="1"/>
    <x v="83"/>
    <x v="2"/>
    <x v="1"/>
  </r>
  <r>
    <x v="778"/>
    <x v="776"/>
    <x v="1"/>
    <x v="1"/>
    <x v="3"/>
    <x v="0"/>
    <x v="2"/>
    <x v="0"/>
    <x v="98"/>
    <x v="8"/>
    <x v="1"/>
  </r>
  <r>
    <x v="779"/>
    <x v="777"/>
    <x v="0"/>
    <x v="1"/>
    <x v="0"/>
    <x v="0"/>
    <x v="4"/>
    <x v="1"/>
    <x v="67"/>
    <x v="8"/>
    <x v="0"/>
  </r>
  <r>
    <x v="780"/>
    <x v="778"/>
    <x v="0"/>
    <x v="3"/>
    <x v="1"/>
    <x v="2"/>
    <x v="3"/>
    <x v="1"/>
    <x v="80"/>
    <x v="4"/>
    <x v="1"/>
  </r>
  <r>
    <x v="781"/>
    <x v="779"/>
    <x v="0"/>
    <x v="0"/>
    <x v="2"/>
    <x v="3"/>
    <x v="0"/>
    <x v="0"/>
    <x v="72"/>
    <x v="2"/>
    <x v="0"/>
  </r>
  <r>
    <x v="782"/>
    <x v="780"/>
    <x v="0"/>
    <x v="1"/>
    <x v="1"/>
    <x v="2"/>
    <x v="0"/>
    <x v="0"/>
    <x v="76"/>
    <x v="7"/>
    <x v="0"/>
  </r>
  <r>
    <x v="783"/>
    <x v="781"/>
    <x v="0"/>
    <x v="3"/>
    <x v="3"/>
    <x v="1"/>
    <x v="0"/>
    <x v="0"/>
    <x v="11"/>
    <x v="4"/>
    <x v="1"/>
  </r>
  <r>
    <x v="784"/>
    <x v="782"/>
    <x v="0"/>
    <x v="4"/>
    <x v="2"/>
    <x v="0"/>
    <x v="3"/>
    <x v="0"/>
    <x v="60"/>
    <x v="1"/>
    <x v="1"/>
  </r>
  <r>
    <x v="785"/>
    <x v="783"/>
    <x v="1"/>
    <x v="4"/>
    <x v="4"/>
    <x v="3"/>
    <x v="1"/>
    <x v="0"/>
    <x v="53"/>
    <x v="3"/>
    <x v="0"/>
  </r>
  <r>
    <x v="786"/>
    <x v="784"/>
    <x v="0"/>
    <x v="3"/>
    <x v="1"/>
    <x v="0"/>
    <x v="0"/>
    <x v="1"/>
    <x v="86"/>
    <x v="7"/>
    <x v="1"/>
  </r>
  <r>
    <x v="787"/>
    <x v="785"/>
    <x v="1"/>
    <x v="0"/>
    <x v="2"/>
    <x v="0"/>
    <x v="4"/>
    <x v="0"/>
    <x v="70"/>
    <x v="5"/>
    <x v="0"/>
  </r>
  <r>
    <x v="788"/>
    <x v="786"/>
    <x v="1"/>
    <x v="3"/>
    <x v="0"/>
    <x v="3"/>
    <x v="3"/>
    <x v="0"/>
    <x v="54"/>
    <x v="6"/>
    <x v="0"/>
  </r>
  <r>
    <x v="789"/>
    <x v="787"/>
    <x v="0"/>
    <x v="4"/>
    <x v="3"/>
    <x v="2"/>
    <x v="4"/>
    <x v="1"/>
    <x v="52"/>
    <x v="9"/>
    <x v="1"/>
  </r>
  <r>
    <x v="790"/>
    <x v="788"/>
    <x v="0"/>
    <x v="4"/>
    <x v="4"/>
    <x v="2"/>
    <x v="3"/>
    <x v="1"/>
    <x v="17"/>
    <x v="7"/>
    <x v="0"/>
  </r>
  <r>
    <x v="791"/>
    <x v="789"/>
    <x v="1"/>
    <x v="2"/>
    <x v="4"/>
    <x v="2"/>
    <x v="1"/>
    <x v="0"/>
    <x v="47"/>
    <x v="1"/>
    <x v="1"/>
  </r>
  <r>
    <x v="792"/>
    <x v="790"/>
    <x v="1"/>
    <x v="4"/>
    <x v="3"/>
    <x v="0"/>
    <x v="4"/>
    <x v="1"/>
    <x v="6"/>
    <x v="3"/>
    <x v="0"/>
  </r>
  <r>
    <x v="793"/>
    <x v="350"/>
    <x v="1"/>
    <x v="2"/>
    <x v="2"/>
    <x v="3"/>
    <x v="1"/>
    <x v="1"/>
    <x v="74"/>
    <x v="4"/>
    <x v="0"/>
  </r>
  <r>
    <x v="794"/>
    <x v="791"/>
    <x v="1"/>
    <x v="4"/>
    <x v="2"/>
    <x v="0"/>
    <x v="4"/>
    <x v="0"/>
    <x v="93"/>
    <x v="8"/>
    <x v="1"/>
  </r>
  <r>
    <x v="795"/>
    <x v="792"/>
    <x v="0"/>
    <x v="0"/>
    <x v="1"/>
    <x v="1"/>
    <x v="4"/>
    <x v="1"/>
    <x v="17"/>
    <x v="0"/>
    <x v="0"/>
  </r>
  <r>
    <x v="796"/>
    <x v="793"/>
    <x v="0"/>
    <x v="3"/>
    <x v="3"/>
    <x v="2"/>
    <x v="3"/>
    <x v="1"/>
    <x v="24"/>
    <x v="7"/>
    <x v="0"/>
  </r>
  <r>
    <x v="797"/>
    <x v="794"/>
    <x v="0"/>
    <x v="0"/>
    <x v="4"/>
    <x v="3"/>
    <x v="1"/>
    <x v="1"/>
    <x v="85"/>
    <x v="6"/>
    <x v="1"/>
  </r>
  <r>
    <x v="798"/>
    <x v="795"/>
    <x v="1"/>
    <x v="0"/>
    <x v="0"/>
    <x v="3"/>
    <x v="0"/>
    <x v="1"/>
    <x v="94"/>
    <x v="4"/>
    <x v="1"/>
  </r>
  <r>
    <x v="799"/>
    <x v="796"/>
    <x v="1"/>
    <x v="1"/>
    <x v="4"/>
    <x v="1"/>
    <x v="2"/>
    <x v="0"/>
    <x v="76"/>
    <x v="7"/>
    <x v="0"/>
  </r>
  <r>
    <x v="800"/>
    <x v="797"/>
    <x v="0"/>
    <x v="1"/>
    <x v="4"/>
    <x v="0"/>
    <x v="2"/>
    <x v="1"/>
    <x v="96"/>
    <x v="0"/>
    <x v="0"/>
  </r>
  <r>
    <x v="801"/>
    <x v="798"/>
    <x v="0"/>
    <x v="0"/>
    <x v="2"/>
    <x v="0"/>
    <x v="4"/>
    <x v="0"/>
    <x v="28"/>
    <x v="4"/>
    <x v="1"/>
  </r>
  <r>
    <x v="802"/>
    <x v="799"/>
    <x v="1"/>
    <x v="4"/>
    <x v="3"/>
    <x v="1"/>
    <x v="1"/>
    <x v="0"/>
    <x v="26"/>
    <x v="8"/>
    <x v="1"/>
  </r>
  <r>
    <x v="803"/>
    <x v="800"/>
    <x v="0"/>
    <x v="0"/>
    <x v="2"/>
    <x v="2"/>
    <x v="1"/>
    <x v="1"/>
    <x v="49"/>
    <x v="7"/>
    <x v="1"/>
  </r>
  <r>
    <x v="804"/>
    <x v="801"/>
    <x v="1"/>
    <x v="4"/>
    <x v="0"/>
    <x v="2"/>
    <x v="1"/>
    <x v="0"/>
    <x v="92"/>
    <x v="5"/>
    <x v="1"/>
  </r>
  <r>
    <x v="805"/>
    <x v="802"/>
    <x v="1"/>
    <x v="4"/>
    <x v="4"/>
    <x v="1"/>
    <x v="2"/>
    <x v="0"/>
    <x v="17"/>
    <x v="9"/>
    <x v="0"/>
  </r>
  <r>
    <x v="806"/>
    <x v="803"/>
    <x v="0"/>
    <x v="0"/>
    <x v="4"/>
    <x v="1"/>
    <x v="3"/>
    <x v="1"/>
    <x v="0"/>
    <x v="1"/>
    <x v="0"/>
  </r>
  <r>
    <x v="807"/>
    <x v="804"/>
    <x v="1"/>
    <x v="1"/>
    <x v="4"/>
    <x v="1"/>
    <x v="4"/>
    <x v="1"/>
    <x v="5"/>
    <x v="2"/>
    <x v="1"/>
  </r>
  <r>
    <x v="808"/>
    <x v="805"/>
    <x v="0"/>
    <x v="1"/>
    <x v="2"/>
    <x v="1"/>
    <x v="4"/>
    <x v="1"/>
    <x v="43"/>
    <x v="6"/>
    <x v="0"/>
  </r>
  <r>
    <x v="809"/>
    <x v="806"/>
    <x v="0"/>
    <x v="1"/>
    <x v="2"/>
    <x v="0"/>
    <x v="4"/>
    <x v="0"/>
    <x v="21"/>
    <x v="6"/>
    <x v="0"/>
  </r>
  <r>
    <x v="810"/>
    <x v="807"/>
    <x v="0"/>
    <x v="2"/>
    <x v="0"/>
    <x v="1"/>
    <x v="1"/>
    <x v="1"/>
    <x v="6"/>
    <x v="4"/>
    <x v="0"/>
  </r>
  <r>
    <x v="811"/>
    <x v="808"/>
    <x v="0"/>
    <x v="0"/>
    <x v="3"/>
    <x v="1"/>
    <x v="3"/>
    <x v="1"/>
    <x v="74"/>
    <x v="4"/>
    <x v="0"/>
  </r>
  <r>
    <x v="812"/>
    <x v="809"/>
    <x v="1"/>
    <x v="3"/>
    <x v="2"/>
    <x v="1"/>
    <x v="2"/>
    <x v="1"/>
    <x v="34"/>
    <x v="8"/>
    <x v="0"/>
  </r>
  <r>
    <x v="813"/>
    <x v="810"/>
    <x v="0"/>
    <x v="0"/>
    <x v="2"/>
    <x v="3"/>
    <x v="2"/>
    <x v="0"/>
    <x v="70"/>
    <x v="7"/>
    <x v="0"/>
  </r>
  <r>
    <x v="814"/>
    <x v="811"/>
    <x v="0"/>
    <x v="1"/>
    <x v="2"/>
    <x v="2"/>
    <x v="3"/>
    <x v="1"/>
    <x v="29"/>
    <x v="8"/>
    <x v="0"/>
  </r>
  <r>
    <x v="815"/>
    <x v="812"/>
    <x v="0"/>
    <x v="4"/>
    <x v="3"/>
    <x v="0"/>
    <x v="2"/>
    <x v="1"/>
    <x v="4"/>
    <x v="5"/>
    <x v="0"/>
  </r>
  <r>
    <x v="816"/>
    <x v="813"/>
    <x v="1"/>
    <x v="3"/>
    <x v="4"/>
    <x v="2"/>
    <x v="4"/>
    <x v="1"/>
    <x v="50"/>
    <x v="7"/>
    <x v="1"/>
  </r>
  <r>
    <x v="817"/>
    <x v="814"/>
    <x v="1"/>
    <x v="1"/>
    <x v="3"/>
    <x v="0"/>
    <x v="0"/>
    <x v="1"/>
    <x v="43"/>
    <x v="3"/>
    <x v="0"/>
  </r>
  <r>
    <x v="818"/>
    <x v="815"/>
    <x v="0"/>
    <x v="1"/>
    <x v="4"/>
    <x v="1"/>
    <x v="0"/>
    <x v="0"/>
    <x v="12"/>
    <x v="0"/>
    <x v="0"/>
  </r>
  <r>
    <x v="819"/>
    <x v="816"/>
    <x v="0"/>
    <x v="4"/>
    <x v="2"/>
    <x v="2"/>
    <x v="2"/>
    <x v="0"/>
    <x v="66"/>
    <x v="7"/>
    <x v="0"/>
  </r>
  <r>
    <x v="820"/>
    <x v="817"/>
    <x v="0"/>
    <x v="0"/>
    <x v="1"/>
    <x v="1"/>
    <x v="3"/>
    <x v="1"/>
    <x v="82"/>
    <x v="7"/>
    <x v="1"/>
  </r>
  <r>
    <x v="821"/>
    <x v="818"/>
    <x v="0"/>
    <x v="4"/>
    <x v="0"/>
    <x v="0"/>
    <x v="2"/>
    <x v="1"/>
    <x v="20"/>
    <x v="9"/>
    <x v="0"/>
  </r>
  <r>
    <x v="822"/>
    <x v="819"/>
    <x v="0"/>
    <x v="1"/>
    <x v="4"/>
    <x v="1"/>
    <x v="1"/>
    <x v="1"/>
    <x v="85"/>
    <x v="0"/>
    <x v="1"/>
  </r>
  <r>
    <x v="823"/>
    <x v="820"/>
    <x v="0"/>
    <x v="2"/>
    <x v="4"/>
    <x v="3"/>
    <x v="1"/>
    <x v="1"/>
    <x v="44"/>
    <x v="8"/>
    <x v="0"/>
  </r>
  <r>
    <x v="824"/>
    <x v="821"/>
    <x v="1"/>
    <x v="4"/>
    <x v="4"/>
    <x v="3"/>
    <x v="3"/>
    <x v="1"/>
    <x v="21"/>
    <x v="7"/>
    <x v="0"/>
  </r>
  <r>
    <x v="825"/>
    <x v="822"/>
    <x v="0"/>
    <x v="4"/>
    <x v="3"/>
    <x v="1"/>
    <x v="2"/>
    <x v="1"/>
    <x v="86"/>
    <x v="1"/>
    <x v="1"/>
  </r>
  <r>
    <x v="826"/>
    <x v="823"/>
    <x v="0"/>
    <x v="1"/>
    <x v="3"/>
    <x v="0"/>
    <x v="1"/>
    <x v="1"/>
    <x v="57"/>
    <x v="2"/>
    <x v="0"/>
  </r>
  <r>
    <x v="827"/>
    <x v="824"/>
    <x v="1"/>
    <x v="0"/>
    <x v="3"/>
    <x v="2"/>
    <x v="1"/>
    <x v="0"/>
    <x v="74"/>
    <x v="5"/>
    <x v="0"/>
  </r>
  <r>
    <x v="828"/>
    <x v="825"/>
    <x v="0"/>
    <x v="2"/>
    <x v="3"/>
    <x v="2"/>
    <x v="3"/>
    <x v="1"/>
    <x v="87"/>
    <x v="3"/>
    <x v="0"/>
  </r>
  <r>
    <x v="829"/>
    <x v="826"/>
    <x v="1"/>
    <x v="2"/>
    <x v="1"/>
    <x v="3"/>
    <x v="1"/>
    <x v="1"/>
    <x v="16"/>
    <x v="4"/>
    <x v="1"/>
  </r>
  <r>
    <x v="830"/>
    <x v="827"/>
    <x v="1"/>
    <x v="4"/>
    <x v="2"/>
    <x v="1"/>
    <x v="0"/>
    <x v="1"/>
    <x v="72"/>
    <x v="9"/>
    <x v="0"/>
  </r>
  <r>
    <x v="831"/>
    <x v="828"/>
    <x v="0"/>
    <x v="1"/>
    <x v="0"/>
    <x v="0"/>
    <x v="0"/>
    <x v="1"/>
    <x v="62"/>
    <x v="5"/>
    <x v="1"/>
  </r>
  <r>
    <x v="832"/>
    <x v="829"/>
    <x v="1"/>
    <x v="1"/>
    <x v="1"/>
    <x v="1"/>
    <x v="0"/>
    <x v="0"/>
    <x v="92"/>
    <x v="0"/>
    <x v="1"/>
  </r>
  <r>
    <x v="833"/>
    <x v="830"/>
    <x v="0"/>
    <x v="3"/>
    <x v="3"/>
    <x v="2"/>
    <x v="1"/>
    <x v="1"/>
    <x v="57"/>
    <x v="4"/>
    <x v="0"/>
  </r>
  <r>
    <x v="834"/>
    <x v="831"/>
    <x v="0"/>
    <x v="1"/>
    <x v="1"/>
    <x v="2"/>
    <x v="2"/>
    <x v="1"/>
    <x v="44"/>
    <x v="4"/>
    <x v="0"/>
  </r>
  <r>
    <x v="835"/>
    <x v="832"/>
    <x v="1"/>
    <x v="3"/>
    <x v="3"/>
    <x v="1"/>
    <x v="4"/>
    <x v="1"/>
    <x v="36"/>
    <x v="3"/>
    <x v="0"/>
  </r>
  <r>
    <x v="836"/>
    <x v="833"/>
    <x v="1"/>
    <x v="2"/>
    <x v="2"/>
    <x v="2"/>
    <x v="0"/>
    <x v="1"/>
    <x v="76"/>
    <x v="0"/>
    <x v="0"/>
  </r>
  <r>
    <x v="837"/>
    <x v="834"/>
    <x v="1"/>
    <x v="4"/>
    <x v="0"/>
    <x v="1"/>
    <x v="2"/>
    <x v="1"/>
    <x v="93"/>
    <x v="4"/>
    <x v="1"/>
  </r>
  <r>
    <x v="838"/>
    <x v="835"/>
    <x v="0"/>
    <x v="1"/>
    <x v="0"/>
    <x v="3"/>
    <x v="1"/>
    <x v="1"/>
    <x v="86"/>
    <x v="9"/>
    <x v="1"/>
  </r>
  <r>
    <x v="839"/>
    <x v="836"/>
    <x v="1"/>
    <x v="2"/>
    <x v="0"/>
    <x v="1"/>
    <x v="2"/>
    <x v="1"/>
    <x v="93"/>
    <x v="8"/>
    <x v="1"/>
  </r>
  <r>
    <x v="840"/>
    <x v="837"/>
    <x v="0"/>
    <x v="2"/>
    <x v="3"/>
    <x v="1"/>
    <x v="0"/>
    <x v="1"/>
    <x v="22"/>
    <x v="6"/>
    <x v="1"/>
  </r>
  <r>
    <x v="841"/>
    <x v="838"/>
    <x v="1"/>
    <x v="1"/>
    <x v="3"/>
    <x v="1"/>
    <x v="1"/>
    <x v="1"/>
    <x v="25"/>
    <x v="7"/>
    <x v="1"/>
  </r>
  <r>
    <x v="842"/>
    <x v="839"/>
    <x v="1"/>
    <x v="2"/>
    <x v="1"/>
    <x v="1"/>
    <x v="3"/>
    <x v="1"/>
    <x v="40"/>
    <x v="7"/>
    <x v="1"/>
  </r>
  <r>
    <x v="843"/>
    <x v="840"/>
    <x v="0"/>
    <x v="4"/>
    <x v="1"/>
    <x v="3"/>
    <x v="2"/>
    <x v="0"/>
    <x v="59"/>
    <x v="0"/>
    <x v="0"/>
  </r>
  <r>
    <x v="844"/>
    <x v="841"/>
    <x v="0"/>
    <x v="4"/>
    <x v="1"/>
    <x v="1"/>
    <x v="4"/>
    <x v="0"/>
    <x v="59"/>
    <x v="9"/>
    <x v="0"/>
  </r>
  <r>
    <x v="845"/>
    <x v="842"/>
    <x v="1"/>
    <x v="3"/>
    <x v="4"/>
    <x v="1"/>
    <x v="4"/>
    <x v="1"/>
    <x v="7"/>
    <x v="3"/>
    <x v="1"/>
  </r>
  <r>
    <x v="846"/>
    <x v="843"/>
    <x v="1"/>
    <x v="1"/>
    <x v="0"/>
    <x v="2"/>
    <x v="1"/>
    <x v="1"/>
    <x v="70"/>
    <x v="3"/>
    <x v="0"/>
  </r>
  <r>
    <x v="847"/>
    <x v="844"/>
    <x v="1"/>
    <x v="1"/>
    <x v="3"/>
    <x v="1"/>
    <x v="0"/>
    <x v="1"/>
    <x v="24"/>
    <x v="2"/>
    <x v="0"/>
  </r>
  <r>
    <x v="848"/>
    <x v="845"/>
    <x v="1"/>
    <x v="1"/>
    <x v="4"/>
    <x v="3"/>
    <x v="1"/>
    <x v="1"/>
    <x v="67"/>
    <x v="9"/>
    <x v="0"/>
  </r>
  <r>
    <x v="849"/>
    <x v="846"/>
    <x v="0"/>
    <x v="0"/>
    <x v="0"/>
    <x v="1"/>
    <x v="3"/>
    <x v="0"/>
    <x v="47"/>
    <x v="0"/>
    <x v="1"/>
  </r>
  <r>
    <x v="850"/>
    <x v="847"/>
    <x v="0"/>
    <x v="3"/>
    <x v="4"/>
    <x v="3"/>
    <x v="2"/>
    <x v="0"/>
    <x v="72"/>
    <x v="3"/>
    <x v="0"/>
  </r>
  <r>
    <x v="851"/>
    <x v="848"/>
    <x v="0"/>
    <x v="1"/>
    <x v="0"/>
    <x v="0"/>
    <x v="2"/>
    <x v="0"/>
    <x v="56"/>
    <x v="4"/>
    <x v="0"/>
  </r>
  <r>
    <x v="852"/>
    <x v="849"/>
    <x v="1"/>
    <x v="4"/>
    <x v="3"/>
    <x v="0"/>
    <x v="0"/>
    <x v="0"/>
    <x v="57"/>
    <x v="0"/>
    <x v="0"/>
  </r>
  <r>
    <x v="853"/>
    <x v="850"/>
    <x v="1"/>
    <x v="1"/>
    <x v="1"/>
    <x v="1"/>
    <x v="2"/>
    <x v="1"/>
    <x v="10"/>
    <x v="5"/>
    <x v="0"/>
  </r>
  <r>
    <x v="854"/>
    <x v="851"/>
    <x v="0"/>
    <x v="1"/>
    <x v="3"/>
    <x v="2"/>
    <x v="3"/>
    <x v="1"/>
    <x v="93"/>
    <x v="9"/>
    <x v="1"/>
  </r>
  <r>
    <x v="855"/>
    <x v="852"/>
    <x v="1"/>
    <x v="1"/>
    <x v="3"/>
    <x v="2"/>
    <x v="1"/>
    <x v="0"/>
    <x v="64"/>
    <x v="0"/>
    <x v="0"/>
  </r>
  <r>
    <x v="856"/>
    <x v="853"/>
    <x v="0"/>
    <x v="4"/>
    <x v="2"/>
    <x v="1"/>
    <x v="1"/>
    <x v="0"/>
    <x v="55"/>
    <x v="1"/>
    <x v="0"/>
  </r>
  <r>
    <x v="857"/>
    <x v="854"/>
    <x v="1"/>
    <x v="2"/>
    <x v="3"/>
    <x v="3"/>
    <x v="4"/>
    <x v="1"/>
    <x v="46"/>
    <x v="7"/>
    <x v="0"/>
  </r>
  <r>
    <x v="858"/>
    <x v="855"/>
    <x v="0"/>
    <x v="3"/>
    <x v="4"/>
    <x v="3"/>
    <x v="4"/>
    <x v="0"/>
    <x v="4"/>
    <x v="3"/>
    <x v="0"/>
  </r>
  <r>
    <x v="859"/>
    <x v="856"/>
    <x v="0"/>
    <x v="4"/>
    <x v="2"/>
    <x v="3"/>
    <x v="1"/>
    <x v="1"/>
    <x v="45"/>
    <x v="9"/>
    <x v="0"/>
  </r>
  <r>
    <x v="860"/>
    <x v="857"/>
    <x v="1"/>
    <x v="2"/>
    <x v="2"/>
    <x v="1"/>
    <x v="0"/>
    <x v="0"/>
    <x v="3"/>
    <x v="2"/>
    <x v="1"/>
  </r>
  <r>
    <x v="861"/>
    <x v="858"/>
    <x v="0"/>
    <x v="2"/>
    <x v="1"/>
    <x v="3"/>
    <x v="2"/>
    <x v="0"/>
    <x v="77"/>
    <x v="4"/>
    <x v="1"/>
  </r>
  <r>
    <x v="862"/>
    <x v="859"/>
    <x v="1"/>
    <x v="0"/>
    <x v="0"/>
    <x v="0"/>
    <x v="4"/>
    <x v="0"/>
    <x v="40"/>
    <x v="3"/>
    <x v="1"/>
  </r>
  <r>
    <x v="863"/>
    <x v="860"/>
    <x v="1"/>
    <x v="4"/>
    <x v="4"/>
    <x v="1"/>
    <x v="4"/>
    <x v="0"/>
    <x v="100"/>
    <x v="6"/>
    <x v="0"/>
  </r>
  <r>
    <x v="864"/>
    <x v="861"/>
    <x v="1"/>
    <x v="2"/>
    <x v="0"/>
    <x v="0"/>
    <x v="3"/>
    <x v="0"/>
    <x v="97"/>
    <x v="2"/>
    <x v="0"/>
  </r>
  <r>
    <x v="865"/>
    <x v="862"/>
    <x v="0"/>
    <x v="1"/>
    <x v="0"/>
    <x v="2"/>
    <x v="2"/>
    <x v="1"/>
    <x v="11"/>
    <x v="3"/>
    <x v="1"/>
  </r>
  <r>
    <x v="866"/>
    <x v="863"/>
    <x v="0"/>
    <x v="2"/>
    <x v="1"/>
    <x v="1"/>
    <x v="2"/>
    <x v="1"/>
    <x v="98"/>
    <x v="0"/>
    <x v="1"/>
  </r>
  <r>
    <x v="867"/>
    <x v="864"/>
    <x v="1"/>
    <x v="4"/>
    <x v="4"/>
    <x v="3"/>
    <x v="3"/>
    <x v="0"/>
    <x v="21"/>
    <x v="2"/>
    <x v="0"/>
  </r>
  <r>
    <x v="868"/>
    <x v="865"/>
    <x v="0"/>
    <x v="3"/>
    <x v="1"/>
    <x v="2"/>
    <x v="3"/>
    <x v="0"/>
    <x v="45"/>
    <x v="3"/>
    <x v="0"/>
  </r>
  <r>
    <x v="869"/>
    <x v="866"/>
    <x v="0"/>
    <x v="2"/>
    <x v="1"/>
    <x v="3"/>
    <x v="0"/>
    <x v="0"/>
    <x v="8"/>
    <x v="9"/>
    <x v="0"/>
  </r>
  <r>
    <x v="870"/>
    <x v="867"/>
    <x v="0"/>
    <x v="2"/>
    <x v="2"/>
    <x v="3"/>
    <x v="2"/>
    <x v="1"/>
    <x v="52"/>
    <x v="8"/>
    <x v="1"/>
  </r>
  <r>
    <x v="871"/>
    <x v="868"/>
    <x v="0"/>
    <x v="3"/>
    <x v="1"/>
    <x v="2"/>
    <x v="1"/>
    <x v="0"/>
    <x v="0"/>
    <x v="4"/>
    <x v="0"/>
  </r>
  <r>
    <x v="872"/>
    <x v="869"/>
    <x v="0"/>
    <x v="4"/>
    <x v="4"/>
    <x v="1"/>
    <x v="2"/>
    <x v="0"/>
    <x v="35"/>
    <x v="2"/>
    <x v="0"/>
  </r>
  <r>
    <x v="873"/>
    <x v="870"/>
    <x v="1"/>
    <x v="4"/>
    <x v="1"/>
    <x v="0"/>
    <x v="0"/>
    <x v="1"/>
    <x v="1"/>
    <x v="6"/>
    <x v="1"/>
  </r>
  <r>
    <x v="874"/>
    <x v="871"/>
    <x v="0"/>
    <x v="2"/>
    <x v="1"/>
    <x v="3"/>
    <x v="1"/>
    <x v="1"/>
    <x v="95"/>
    <x v="4"/>
    <x v="1"/>
  </r>
  <r>
    <x v="875"/>
    <x v="872"/>
    <x v="0"/>
    <x v="2"/>
    <x v="1"/>
    <x v="3"/>
    <x v="3"/>
    <x v="0"/>
    <x v="43"/>
    <x v="0"/>
    <x v="0"/>
  </r>
  <r>
    <x v="876"/>
    <x v="873"/>
    <x v="1"/>
    <x v="1"/>
    <x v="3"/>
    <x v="3"/>
    <x v="3"/>
    <x v="1"/>
    <x v="22"/>
    <x v="4"/>
    <x v="1"/>
  </r>
  <r>
    <x v="877"/>
    <x v="874"/>
    <x v="1"/>
    <x v="3"/>
    <x v="4"/>
    <x v="1"/>
    <x v="0"/>
    <x v="0"/>
    <x v="42"/>
    <x v="5"/>
    <x v="1"/>
  </r>
  <r>
    <x v="878"/>
    <x v="875"/>
    <x v="1"/>
    <x v="1"/>
    <x v="3"/>
    <x v="0"/>
    <x v="1"/>
    <x v="0"/>
    <x v="52"/>
    <x v="7"/>
    <x v="1"/>
  </r>
  <r>
    <x v="879"/>
    <x v="876"/>
    <x v="1"/>
    <x v="4"/>
    <x v="0"/>
    <x v="1"/>
    <x v="3"/>
    <x v="1"/>
    <x v="76"/>
    <x v="9"/>
    <x v="0"/>
  </r>
  <r>
    <x v="880"/>
    <x v="877"/>
    <x v="0"/>
    <x v="2"/>
    <x v="4"/>
    <x v="0"/>
    <x v="1"/>
    <x v="1"/>
    <x v="94"/>
    <x v="3"/>
    <x v="1"/>
  </r>
  <r>
    <x v="881"/>
    <x v="878"/>
    <x v="0"/>
    <x v="0"/>
    <x v="4"/>
    <x v="0"/>
    <x v="3"/>
    <x v="0"/>
    <x v="39"/>
    <x v="1"/>
    <x v="0"/>
  </r>
  <r>
    <x v="882"/>
    <x v="879"/>
    <x v="0"/>
    <x v="0"/>
    <x v="3"/>
    <x v="1"/>
    <x v="4"/>
    <x v="0"/>
    <x v="6"/>
    <x v="4"/>
    <x v="0"/>
  </r>
  <r>
    <x v="883"/>
    <x v="880"/>
    <x v="0"/>
    <x v="4"/>
    <x v="0"/>
    <x v="1"/>
    <x v="1"/>
    <x v="0"/>
    <x v="29"/>
    <x v="4"/>
    <x v="0"/>
  </r>
  <r>
    <x v="884"/>
    <x v="881"/>
    <x v="0"/>
    <x v="0"/>
    <x v="2"/>
    <x v="3"/>
    <x v="1"/>
    <x v="0"/>
    <x v="86"/>
    <x v="0"/>
    <x v="1"/>
  </r>
  <r>
    <x v="885"/>
    <x v="882"/>
    <x v="1"/>
    <x v="3"/>
    <x v="1"/>
    <x v="3"/>
    <x v="3"/>
    <x v="0"/>
    <x v="60"/>
    <x v="1"/>
    <x v="1"/>
  </r>
  <r>
    <x v="886"/>
    <x v="883"/>
    <x v="1"/>
    <x v="1"/>
    <x v="0"/>
    <x v="2"/>
    <x v="4"/>
    <x v="1"/>
    <x v="28"/>
    <x v="1"/>
    <x v="1"/>
  </r>
  <r>
    <x v="887"/>
    <x v="884"/>
    <x v="0"/>
    <x v="4"/>
    <x v="3"/>
    <x v="0"/>
    <x v="4"/>
    <x v="0"/>
    <x v="77"/>
    <x v="7"/>
    <x v="1"/>
  </r>
  <r>
    <x v="888"/>
    <x v="885"/>
    <x v="0"/>
    <x v="4"/>
    <x v="3"/>
    <x v="3"/>
    <x v="2"/>
    <x v="1"/>
    <x v="38"/>
    <x v="7"/>
    <x v="0"/>
  </r>
  <r>
    <x v="889"/>
    <x v="886"/>
    <x v="0"/>
    <x v="4"/>
    <x v="2"/>
    <x v="1"/>
    <x v="1"/>
    <x v="0"/>
    <x v="90"/>
    <x v="2"/>
    <x v="1"/>
  </r>
  <r>
    <x v="890"/>
    <x v="887"/>
    <x v="0"/>
    <x v="0"/>
    <x v="3"/>
    <x v="1"/>
    <x v="4"/>
    <x v="0"/>
    <x v="29"/>
    <x v="2"/>
    <x v="0"/>
  </r>
  <r>
    <x v="891"/>
    <x v="888"/>
    <x v="0"/>
    <x v="3"/>
    <x v="3"/>
    <x v="2"/>
    <x v="0"/>
    <x v="0"/>
    <x v="22"/>
    <x v="3"/>
    <x v="1"/>
  </r>
  <r>
    <x v="892"/>
    <x v="889"/>
    <x v="1"/>
    <x v="2"/>
    <x v="2"/>
    <x v="0"/>
    <x v="0"/>
    <x v="0"/>
    <x v="36"/>
    <x v="5"/>
    <x v="0"/>
  </r>
  <r>
    <x v="893"/>
    <x v="890"/>
    <x v="1"/>
    <x v="4"/>
    <x v="1"/>
    <x v="2"/>
    <x v="4"/>
    <x v="0"/>
    <x v="78"/>
    <x v="1"/>
    <x v="1"/>
  </r>
  <r>
    <x v="894"/>
    <x v="891"/>
    <x v="0"/>
    <x v="4"/>
    <x v="1"/>
    <x v="3"/>
    <x v="1"/>
    <x v="0"/>
    <x v="91"/>
    <x v="5"/>
    <x v="0"/>
  </r>
  <r>
    <x v="895"/>
    <x v="892"/>
    <x v="0"/>
    <x v="1"/>
    <x v="4"/>
    <x v="0"/>
    <x v="3"/>
    <x v="0"/>
    <x v="48"/>
    <x v="6"/>
    <x v="1"/>
  </r>
  <r>
    <x v="896"/>
    <x v="893"/>
    <x v="0"/>
    <x v="0"/>
    <x v="3"/>
    <x v="3"/>
    <x v="1"/>
    <x v="0"/>
    <x v="27"/>
    <x v="8"/>
    <x v="0"/>
  </r>
  <r>
    <x v="897"/>
    <x v="894"/>
    <x v="0"/>
    <x v="3"/>
    <x v="1"/>
    <x v="3"/>
    <x v="1"/>
    <x v="1"/>
    <x v="38"/>
    <x v="0"/>
    <x v="0"/>
  </r>
  <r>
    <x v="898"/>
    <x v="895"/>
    <x v="0"/>
    <x v="0"/>
    <x v="4"/>
    <x v="2"/>
    <x v="1"/>
    <x v="1"/>
    <x v="3"/>
    <x v="0"/>
    <x v="1"/>
  </r>
  <r>
    <x v="899"/>
    <x v="896"/>
    <x v="1"/>
    <x v="3"/>
    <x v="1"/>
    <x v="0"/>
    <x v="0"/>
    <x v="1"/>
    <x v="22"/>
    <x v="4"/>
    <x v="1"/>
  </r>
  <r>
    <x v="900"/>
    <x v="897"/>
    <x v="1"/>
    <x v="3"/>
    <x v="0"/>
    <x v="2"/>
    <x v="2"/>
    <x v="0"/>
    <x v="93"/>
    <x v="4"/>
    <x v="1"/>
  </r>
  <r>
    <x v="901"/>
    <x v="898"/>
    <x v="1"/>
    <x v="3"/>
    <x v="4"/>
    <x v="1"/>
    <x v="3"/>
    <x v="0"/>
    <x v="67"/>
    <x v="2"/>
    <x v="0"/>
  </r>
  <r>
    <x v="902"/>
    <x v="899"/>
    <x v="0"/>
    <x v="0"/>
    <x v="2"/>
    <x v="3"/>
    <x v="3"/>
    <x v="1"/>
    <x v="2"/>
    <x v="1"/>
    <x v="1"/>
  </r>
  <r>
    <x v="903"/>
    <x v="900"/>
    <x v="1"/>
    <x v="0"/>
    <x v="1"/>
    <x v="1"/>
    <x v="1"/>
    <x v="0"/>
    <x v="51"/>
    <x v="2"/>
    <x v="1"/>
  </r>
  <r>
    <x v="904"/>
    <x v="901"/>
    <x v="1"/>
    <x v="2"/>
    <x v="0"/>
    <x v="2"/>
    <x v="0"/>
    <x v="1"/>
    <x v="55"/>
    <x v="5"/>
    <x v="0"/>
  </r>
  <r>
    <x v="905"/>
    <x v="902"/>
    <x v="1"/>
    <x v="2"/>
    <x v="1"/>
    <x v="3"/>
    <x v="1"/>
    <x v="1"/>
    <x v="99"/>
    <x v="6"/>
    <x v="1"/>
  </r>
  <r>
    <x v="906"/>
    <x v="903"/>
    <x v="0"/>
    <x v="3"/>
    <x v="2"/>
    <x v="1"/>
    <x v="4"/>
    <x v="1"/>
    <x v="14"/>
    <x v="2"/>
    <x v="1"/>
  </r>
  <r>
    <x v="907"/>
    <x v="904"/>
    <x v="1"/>
    <x v="3"/>
    <x v="2"/>
    <x v="2"/>
    <x v="0"/>
    <x v="1"/>
    <x v="73"/>
    <x v="4"/>
    <x v="0"/>
  </r>
  <r>
    <x v="908"/>
    <x v="905"/>
    <x v="1"/>
    <x v="3"/>
    <x v="1"/>
    <x v="3"/>
    <x v="4"/>
    <x v="0"/>
    <x v="6"/>
    <x v="2"/>
    <x v="0"/>
  </r>
  <r>
    <x v="909"/>
    <x v="906"/>
    <x v="0"/>
    <x v="2"/>
    <x v="3"/>
    <x v="3"/>
    <x v="4"/>
    <x v="0"/>
    <x v="41"/>
    <x v="4"/>
    <x v="1"/>
  </r>
  <r>
    <x v="910"/>
    <x v="907"/>
    <x v="1"/>
    <x v="1"/>
    <x v="4"/>
    <x v="3"/>
    <x v="2"/>
    <x v="1"/>
    <x v="7"/>
    <x v="2"/>
    <x v="1"/>
  </r>
  <r>
    <x v="911"/>
    <x v="908"/>
    <x v="0"/>
    <x v="3"/>
    <x v="2"/>
    <x v="3"/>
    <x v="3"/>
    <x v="1"/>
    <x v="48"/>
    <x v="9"/>
    <x v="1"/>
  </r>
  <r>
    <x v="912"/>
    <x v="909"/>
    <x v="1"/>
    <x v="4"/>
    <x v="1"/>
    <x v="2"/>
    <x v="4"/>
    <x v="1"/>
    <x v="72"/>
    <x v="7"/>
    <x v="0"/>
  </r>
  <r>
    <x v="913"/>
    <x v="910"/>
    <x v="1"/>
    <x v="2"/>
    <x v="1"/>
    <x v="2"/>
    <x v="1"/>
    <x v="1"/>
    <x v="29"/>
    <x v="2"/>
    <x v="0"/>
  </r>
  <r>
    <x v="914"/>
    <x v="911"/>
    <x v="1"/>
    <x v="4"/>
    <x v="2"/>
    <x v="1"/>
    <x v="4"/>
    <x v="0"/>
    <x v="83"/>
    <x v="2"/>
    <x v="1"/>
  </r>
  <r>
    <x v="915"/>
    <x v="912"/>
    <x v="1"/>
    <x v="2"/>
    <x v="4"/>
    <x v="0"/>
    <x v="4"/>
    <x v="0"/>
    <x v="25"/>
    <x v="1"/>
    <x v="1"/>
  </r>
  <r>
    <x v="916"/>
    <x v="913"/>
    <x v="0"/>
    <x v="2"/>
    <x v="1"/>
    <x v="0"/>
    <x v="3"/>
    <x v="0"/>
    <x v="81"/>
    <x v="2"/>
    <x v="1"/>
  </r>
  <r>
    <x v="917"/>
    <x v="914"/>
    <x v="0"/>
    <x v="0"/>
    <x v="0"/>
    <x v="2"/>
    <x v="1"/>
    <x v="0"/>
    <x v="26"/>
    <x v="3"/>
    <x v="1"/>
  </r>
  <r>
    <x v="918"/>
    <x v="915"/>
    <x v="0"/>
    <x v="4"/>
    <x v="4"/>
    <x v="3"/>
    <x v="1"/>
    <x v="0"/>
    <x v="100"/>
    <x v="7"/>
    <x v="0"/>
  </r>
  <r>
    <x v="919"/>
    <x v="916"/>
    <x v="1"/>
    <x v="1"/>
    <x v="4"/>
    <x v="1"/>
    <x v="0"/>
    <x v="0"/>
    <x v="74"/>
    <x v="0"/>
    <x v="0"/>
  </r>
  <r>
    <x v="920"/>
    <x v="917"/>
    <x v="1"/>
    <x v="2"/>
    <x v="2"/>
    <x v="2"/>
    <x v="3"/>
    <x v="0"/>
    <x v="43"/>
    <x v="4"/>
    <x v="0"/>
  </r>
  <r>
    <x v="921"/>
    <x v="918"/>
    <x v="1"/>
    <x v="3"/>
    <x v="0"/>
    <x v="0"/>
    <x v="0"/>
    <x v="1"/>
    <x v="86"/>
    <x v="0"/>
    <x v="1"/>
  </r>
  <r>
    <x v="922"/>
    <x v="919"/>
    <x v="0"/>
    <x v="2"/>
    <x v="2"/>
    <x v="0"/>
    <x v="3"/>
    <x v="1"/>
    <x v="19"/>
    <x v="4"/>
    <x v="0"/>
  </r>
  <r>
    <x v="923"/>
    <x v="920"/>
    <x v="0"/>
    <x v="3"/>
    <x v="0"/>
    <x v="1"/>
    <x v="2"/>
    <x v="1"/>
    <x v="33"/>
    <x v="7"/>
    <x v="1"/>
  </r>
  <r>
    <x v="924"/>
    <x v="921"/>
    <x v="1"/>
    <x v="3"/>
    <x v="3"/>
    <x v="3"/>
    <x v="3"/>
    <x v="0"/>
    <x v="47"/>
    <x v="5"/>
    <x v="1"/>
  </r>
  <r>
    <x v="925"/>
    <x v="922"/>
    <x v="1"/>
    <x v="1"/>
    <x v="1"/>
    <x v="2"/>
    <x v="1"/>
    <x v="1"/>
    <x v="84"/>
    <x v="1"/>
    <x v="0"/>
  </r>
  <r>
    <x v="926"/>
    <x v="923"/>
    <x v="1"/>
    <x v="0"/>
    <x v="3"/>
    <x v="0"/>
    <x v="0"/>
    <x v="1"/>
    <x v="28"/>
    <x v="8"/>
    <x v="1"/>
  </r>
  <r>
    <x v="927"/>
    <x v="924"/>
    <x v="1"/>
    <x v="1"/>
    <x v="4"/>
    <x v="1"/>
    <x v="3"/>
    <x v="1"/>
    <x v="13"/>
    <x v="2"/>
    <x v="0"/>
  </r>
  <r>
    <x v="928"/>
    <x v="925"/>
    <x v="1"/>
    <x v="2"/>
    <x v="1"/>
    <x v="3"/>
    <x v="0"/>
    <x v="1"/>
    <x v="12"/>
    <x v="8"/>
    <x v="0"/>
  </r>
  <r>
    <x v="929"/>
    <x v="926"/>
    <x v="1"/>
    <x v="2"/>
    <x v="0"/>
    <x v="2"/>
    <x v="0"/>
    <x v="0"/>
    <x v="95"/>
    <x v="0"/>
    <x v="1"/>
  </r>
  <r>
    <x v="930"/>
    <x v="927"/>
    <x v="0"/>
    <x v="2"/>
    <x v="2"/>
    <x v="2"/>
    <x v="0"/>
    <x v="1"/>
    <x v="35"/>
    <x v="5"/>
    <x v="0"/>
  </r>
  <r>
    <x v="931"/>
    <x v="928"/>
    <x v="1"/>
    <x v="1"/>
    <x v="1"/>
    <x v="2"/>
    <x v="0"/>
    <x v="1"/>
    <x v="69"/>
    <x v="8"/>
    <x v="0"/>
  </r>
  <r>
    <x v="932"/>
    <x v="929"/>
    <x v="0"/>
    <x v="3"/>
    <x v="2"/>
    <x v="2"/>
    <x v="3"/>
    <x v="0"/>
    <x v="46"/>
    <x v="7"/>
    <x v="0"/>
  </r>
  <r>
    <x v="933"/>
    <x v="930"/>
    <x v="1"/>
    <x v="1"/>
    <x v="4"/>
    <x v="2"/>
    <x v="0"/>
    <x v="1"/>
    <x v="29"/>
    <x v="4"/>
    <x v="0"/>
  </r>
  <r>
    <x v="934"/>
    <x v="931"/>
    <x v="0"/>
    <x v="2"/>
    <x v="1"/>
    <x v="0"/>
    <x v="1"/>
    <x v="1"/>
    <x v="36"/>
    <x v="3"/>
    <x v="0"/>
  </r>
  <r>
    <x v="935"/>
    <x v="932"/>
    <x v="0"/>
    <x v="1"/>
    <x v="1"/>
    <x v="0"/>
    <x v="2"/>
    <x v="1"/>
    <x v="78"/>
    <x v="1"/>
    <x v="1"/>
  </r>
  <r>
    <x v="936"/>
    <x v="933"/>
    <x v="0"/>
    <x v="3"/>
    <x v="0"/>
    <x v="3"/>
    <x v="3"/>
    <x v="1"/>
    <x v="74"/>
    <x v="8"/>
    <x v="0"/>
  </r>
  <r>
    <x v="937"/>
    <x v="934"/>
    <x v="1"/>
    <x v="0"/>
    <x v="0"/>
    <x v="3"/>
    <x v="4"/>
    <x v="1"/>
    <x v="36"/>
    <x v="4"/>
    <x v="0"/>
  </r>
  <r>
    <x v="938"/>
    <x v="935"/>
    <x v="0"/>
    <x v="3"/>
    <x v="3"/>
    <x v="3"/>
    <x v="4"/>
    <x v="0"/>
    <x v="45"/>
    <x v="8"/>
    <x v="0"/>
  </r>
  <r>
    <x v="939"/>
    <x v="936"/>
    <x v="0"/>
    <x v="0"/>
    <x v="1"/>
    <x v="3"/>
    <x v="3"/>
    <x v="1"/>
    <x v="71"/>
    <x v="2"/>
    <x v="1"/>
  </r>
  <r>
    <x v="940"/>
    <x v="937"/>
    <x v="0"/>
    <x v="1"/>
    <x v="3"/>
    <x v="3"/>
    <x v="4"/>
    <x v="0"/>
    <x v="6"/>
    <x v="4"/>
    <x v="0"/>
  </r>
  <r>
    <x v="941"/>
    <x v="938"/>
    <x v="0"/>
    <x v="2"/>
    <x v="2"/>
    <x v="2"/>
    <x v="0"/>
    <x v="0"/>
    <x v="23"/>
    <x v="0"/>
    <x v="0"/>
  </r>
  <r>
    <x v="942"/>
    <x v="939"/>
    <x v="0"/>
    <x v="4"/>
    <x v="1"/>
    <x v="3"/>
    <x v="3"/>
    <x v="1"/>
    <x v="11"/>
    <x v="1"/>
    <x v="1"/>
  </r>
  <r>
    <x v="943"/>
    <x v="940"/>
    <x v="1"/>
    <x v="4"/>
    <x v="3"/>
    <x v="1"/>
    <x v="4"/>
    <x v="0"/>
    <x v="67"/>
    <x v="1"/>
    <x v="0"/>
  </r>
  <r>
    <x v="944"/>
    <x v="941"/>
    <x v="0"/>
    <x v="0"/>
    <x v="0"/>
    <x v="3"/>
    <x v="3"/>
    <x v="1"/>
    <x v="0"/>
    <x v="6"/>
    <x v="0"/>
  </r>
  <r>
    <x v="945"/>
    <x v="942"/>
    <x v="1"/>
    <x v="1"/>
    <x v="4"/>
    <x v="0"/>
    <x v="2"/>
    <x v="0"/>
    <x v="48"/>
    <x v="6"/>
    <x v="1"/>
  </r>
  <r>
    <x v="946"/>
    <x v="943"/>
    <x v="1"/>
    <x v="1"/>
    <x v="3"/>
    <x v="2"/>
    <x v="2"/>
    <x v="0"/>
    <x v="9"/>
    <x v="2"/>
    <x v="1"/>
  </r>
  <r>
    <x v="947"/>
    <x v="944"/>
    <x v="1"/>
    <x v="4"/>
    <x v="4"/>
    <x v="1"/>
    <x v="4"/>
    <x v="0"/>
    <x v="16"/>
    <x v="6"/>
    <x v="1"/>
  </r>
  <r>
    <x v="948"/>
    <x v="945"/>
    <x v="0"/>
    <x v="3"/>
    <x v="2"/>
    <x v="3"/>
    <x v="4"/>
    <x v="1"/>
    <x v="73"/>
    <x v="1"/>
    <x v="0"/>
  </r>
  <r>
    <x v="949"/>
    <x v="946"/>
    <x v="1"/>
    <x v="0"/>
    <x v="3"/>
    <x v="2"/>
    <x v="1"/>
    <x v="1"/>
    <x v="84"/>
    <x v="6"/>
    <x v="0"/>
  </r>
  <r>
    <x v="950"/>
    <x v="947"/>
    <x v="1"/>
    <x v="0"/>
    <x v="4"/>
    <x v="3"/>
    <x v="0"/>
    <x v="1"/>
    <x v="77"/>
    <x v="6"/>
    <x v="1"/>
  </r>
  <r>
    <x v="951"/>
    <x v="948"/>
    <x v="1"/>
    <x v="2"/>
    <x v="0"/>
    <x v="3"/>
    <x v="3"/>
    <x v="0"/>
    <x v="65"/>
    <x v="4"/>
    <x v="1"/>
  </r>
  <r>
    <x v="952"/>
    <x v="949"/>
    <x v="0"/>
    <x v="3"/>
    <x v="3"/>
    <x v="0"/>
    <x v="3"/>
    <x v="0"/>
    <x v="17"/>
    <x v="5"/>
    <x v="0"/>
  </r>
  <r>
    <x v="953"/>
    <x v="950"/>
    <x v="0"/>
    <x v="1"/>
    <x v="3"/>
    <x v="0"/>
    <x v="2"/>
    <x v="1"/>
    <x v="54"/>
    <x v="5"/>
    <x v="0"/>
  </r>
  <r>
    <x v="954"/>
    <x v="951"/>
    <x v="0"/>
    <x v="0"/>
    <x v="2"/>
    <x v="2"/>
    <x v="2"/>
    <x v="1"/>
    <x v="76"/>
    <x v="6"/>
    <x v="0"/>
  </r>
  <r>
    <x v="955"/>
    <x v="952"/>
    <x v="0"/>
    <x v="1"/>
    <x v="3"/>
    <x v="2"/>
    <x v="4"/>
    <x v="0"/>
    <x v="33"/>
    <x v="2"/>
    <x v="1"/>
  </r>
  <r>
    <x v="956"/>
    <x v="953"/>
    <x v="1"/>
    <x v="4"/>
    <x v="4"/>
    <x v="1"/>
    <x v="4"/>
    <x v="0"/>
    <x v="86"/>
    <x v="4"/>
    <x v="1"/>
  </r>
  <r>
    <x v="957"/>
    <x v="954"/>
    <x v="1"/>
    <x v="2"/>
    <x v="0"/>
    <x v="1"/>
    <x v="0"/>
    <x v="0"/>
    <x v="29"/>
    <x v="9"/>
    <x v="0"/>
  </r>
  <r>
    <x v="958"/>
    <x v="955"/>
    <x v="0"/>
    <x v="3"/>
    <x v="2"/>
    <x v="3"/>
    <x v="4"/>
    <x v="1"/>
    <x v="66"/>
    <x v="2"/>
    <x v="0"/>
  </r>
  <r>
    <x v="959"/>
    <x v="956"/>
    <x v="0"/>
    <x v="0"/>
    <x v="2"/>
    <x v="0"/>
    <x v="1"/>
    <x v="0"/>
    <x v="91"/>
    <x v="2"/>
    <x v="0"/>
  </r>
  <r>
    <x v="960"/>
    <x v="477"/>
    <x v="0"/>
    <x v="2"/>
    <x v="3"/>
    <x v="1"/>
    <x v="3"/>
    <x v="0"/>
    <x v="56"/>
    <x v="7"/>
    <x v="0"/>
  </r>
  <r>
    <x v="961"/>
    <x v="957"/>
    <x v="0"/>
    <x v="1"/>
    <x v="1"/>
    <x v="1"/>
    <x v="4"/>
    <x v="0"/>
    <x v="23"/>
    <x v="1"/>
    <x v="0"/>
  </r>
  <r>
    <x v="962"/>
    <x v="958"/>
    <x v="1"/>
    <x v="1"/>
    <x v="2"/>
    <x v="1"/>
    <x v="1"/>
    <x v="0"/>
    <x v="8"/>
    <x v="9"/>
    <x v="0"/>
  </r>
  <r>
    <x v="963"/>
    <x v="959"/>
    <x v="0"/>
    <x v="3"/>
    <x v="1"/>
    <x v="1"/>
    <x v="0"/>
    <x v="1"/>
    <x v="30"/>
    <x v="5"/>
    <x v="1"/>
  </r>
  <r>
    <x v="964"/>
    <x v="960"/>
    <x v="0"/>
    <x v="3"/>
    <x v="0"/>
    <x v="0"/>
    <x v="2"/>
    <x v="1"/>
    <x v="3"/>
    <x v="6"/>
    <x v="1"/>
  </r>
  <r>
    <x v="965"/>
    <x v="961"/>
    <x v="1"/>
    <x v="3"/>
    <x v="0"/>
    <x v="3"/>
    <x v="1"/>
    <x v="0"/>
    <x v="60"/>
    <x v="8"/>
    <x v="1"/>
  </r>
  <r>
    <x v="966"/>
    <x v="962"/>
    <x v="1"/>
    <x v="0"/>
    <x v="4"/>
    <x v="0"/>
    <x v="1"/>
    <x v="0"/>
    <x v="59"/>
    <x v="5"/>
    <x v="0"/>
  </r>
  <r>
    <x v="967"/>
    <x v="963"/>
    <x v="1"/>
    <x v="2"/>
    <x v="4"/>
    <x v="0"/>
    <x v="4"/>
    <x v="1"/>
    <x v="98"/>
    <x v="8"/>
    <x v="1"/>
  </r>
  <r>
    <x v="968"/>
    <x v="964"/>
    <x v="0"/>
    <x v="0"/>
    <x v="0"/>
    <x v="2"/>
    <x v="0"/>
    <x v="1"/>
    <x v="1"/>
    <x v="2"/>
    <x v="1"/>
  </r>
  <r>
    <x v="969"/>
    <x v="965"/>
    <x v="0"/>
    <x v="0"/>
    <x v="2"/>
    <x v="3"/>
    <x v="2"/>
    <x v="1"/>
    <x v="34"/>
    <x v="1"/>
    <x v="0"/>
  </r>
  <r>
    <x v="970"/>
    <x v="966"/>
    <x v="0"/>
    <x v="1"/>
    <x v="1"/>
    <x v="0"/>
    <x v="3"/>
    <x v="1"/>
    <x v="40"/>
    <x v="0"/>
    <x v="1"/>
  </r>
  <r>
    <x v="971"/>
    <x v="967"/>
    <x v="1"/>
    <x v="1"/>
    <x v="1"/>
    <x v="3"/>
    <x v="1"/>
    <x v="0"/>
    <x v="12"/>
    <x v="1"/>
    <x v="0"/>
  </r>
  <r>
    <x v="972"/>
    <x v="968"/>
    <x v="0"/>
    <x v="3"/>
    <x v="3"/>
    <x v="3"/>
    <x v="1"/>
    <x v="1"/>
    <x v="51"/>
    <x v="9"/>
    <x v="1"/>
  </r>
  <r>
    <x v="973"/>
    <x v="969"/>
    <x v="1"/>
    <x v="0"/>
    <x v="3"/>
    <x v="1"/>
    <x v="2"/>
    <x v="1"/>
    <x v="10"/>
    <x v="8"/>
    <x v="0"/>
  </r>
  <r>
    <x v="974"/>
    <x v="970"/>
    <x v="1"/>
    <x v="0"/>
    <x v="1"/>
    <x v="0"/>
    <x v="0"/>
    <x v="0"/>
    <x v="27"/>
    <x v="8"/>
    <x v="0"/>
  </r>
  <r>
    <x v="975"/>
    <x v="971"/>
    <x v="1"/>
    <x v="2"/>
    <x v="0"/>
    <x v="2"/>
    <x v="2"/>
    <x v="0"/>
    <x v="81"/>
    <x v="1"/>
    <x v="1"/>
  </r>
  <r>
    <x v="976"/>
    <x v="972"/>
    <x v="0"/>
    <x v="2"/>
    <x v="2"/>
    <x v="2"/>
    <x v="3"/>
    <x v="1"/>
    <x v="32"/>
    <x v="8"/>
    <x v="1"/>
  </r>
  <r>
    <x v="977"/>
    <x v="973"/>
    <x v="1"/>
    <x v="1"/>
    <x v="0"/>
    <x v="3"/>
    <x v="2"/>
    <x v="1"/>
    <x v="96"/>
    <x v="8"/>
    <x v="0"/>
  </r>
  <r>
    <x v="978"/>
    <x v="974"/>
    <x v="0"/>
    <x v="2"/>
    <x v="2"/>
    <x v="3"/>
    <x v="0"/>
    <x v="1"/>
    <x v="30"/>
    <x v="4"/>
    <x v="1"/>
  </r>
  <r>
    <x v="979"/>
    <x v="975"/>
    <x v="1"/>
    <x v="1"/>
    <x v="1"/>
    <x v="1"/>
    <x v="0"/>
    <x v="0"/>
    <x v="24"/>
    <x v="8"/>
    <x v="0"/>
  </r>
  <r>
    <x v="980"/>
    <x v="976"/>
    <x v="0"/>
    <x v="0"/>
    <x v="2"/>
    <x v="3"/>
    <x v="4"/>
    <x v="1"/>
    <x v="80"/>
    <x v="4"/>
    <x v="1"/>
  </r>
  <r>
    <x v="981"/>
    <x v="977"/>
    <x v="1"/>
    <x v="1"/>
    <x v="4"/>
    <x v="1"/>
    <x v="1"/>
    <x v="1"/>
    <x v="31"/>
    <x v="0"/>
    <x v="1"/>
  </r>
  <r>
    <x v="982"/>
    <x v="978"/>
    <x v="1"/>
    <x v="3"/>
    <x v="2"/>
    <x v="3"/>
    <x v="3"/>
    <x v="0"/>
    <x v="0"/>
    <x v="4"/>
    <x v="0"/>
  </r>
  <r>
    <x v="983"/>
    <x v="979"/>
    <x v="0"/>
    <x v="1"/>
    <x v="4"/>
    <x v="0"/>
    <x v="1"/>
    <x v="0"/>
    <x v="69"/>
    <x v="2"/>
    <x v="0"/>
  </r>
  <r>
    <x v="984"/>
    <x v="980"/>
    <x v="1"/>
    <x v="4"/>
    <x v="2"/>
    <x v="2"/>
    <x v="3"/>
    <x v="0"/>
    <x v="73"/>
    <x v="0"/>
    <x v="0"/>
  </r>
  <r>
    <x v="985"/>
    <x v="981"/>
    <x v="1"/>
    <x v="0"/>
    <x v="1"/>
    <x v="0"/>
    <x v="3"/>
    <x v="0"/>
    <x v="7"/>
    <x v="7"/>
    <x v="1"/>
  </r>
  <r>
    <x v="986"/>
    <x v="982"/>
    <x v="0"/>
    <x v="4"/>
    <x v="4"/>
    <x v="3"/>
    <x v="1"/>
    <x v="1"/>
    <x v="71"/>
    <x v="8"/>
    <x v="1"/>
  </r>
  <r>
    <x v="987"/>
    <x v="983"/>
    <x v="1"/>
    <x v="4"/>
    <x v="4"/>
    <x v="3"/>
    <x v="0"/>
    <x v="0"/>
    <x v="35"/>
    <x v="9"/>
    <x v="0"/>
  </r>
  <r>
    <x v="988"/>
    <x v="984"/>
    <x v="1"/>
    <x v="1"/>
    <x v="4"/>
    <x v="2"/>
    <x v="1"/>
    <x v="0"/>
    <x v="67"/>
    <x v="1"/>
    <x v="0"/>
  </r>
  <r>
    <x v="989"/>
    <x v="985"/>
    <x v="1"/>
    <x v="2"/>
    <x v="3"/>
    <x v="2"/>
    <x v="2"/>
    <x v="0"/>
    <x v="99"/>
    <x v="4"/>
    <x v="1"/>
  </r>
  <r>
    <x v="990"/>
    <x v="986"/>
    <x v="0"/>
    <x v="3"/>
    <x v="3"/>
    <x v="2"/>
    <x v="2"/>
    <x v="0"/>
    <x v="79"/>
    <x v="5"/>
    <x v="1"/>
  </r>
  <r>
    <x v="991"/>
    <x v="987"/>
    <x v="0"/>
    <x v="0"/>
    <x v="1"/>
    <x v="1"/>
    <x v="1"/>
    <x v="1"/>
    <x v="86"/>
    <x v="1"/>
    <x v="1"/>
  </r>
  <r>
    <x v="992"/>
    <x v="988"/>
    <x v="0"/>
    <x v="2"/>
    <x v="1"/>
    <x v="3"/>
    <x v="1"/>
    <x v="0"/>
    <x v="71"/>
    <x v="1"/>
    <x v="1"/>
  </r>
  <r>
    <x v="993"/>
    <x v="989"/>
    <x v="0"/>
    <x v="3"/>
    <x v="1"/>
    <x v="1"/>
    <x v="2"/>
    <x v="0"/>
    <x v="74"/>
    <x v="9"/>
    <x v="0"/>
  </r>
  <r>
    <x v="994"/>
    <x v="990"/>
    <x v="0"/>
    <x v="4"/>
    <x v="3"/>
    <x v="2"/>
    <x v="0"/>
    <x v="1"/>
    <x v="32"/>
    <x v="1"/>
    <x v="1"/>
  </r>
  <r>
    <x v="995"/>
    <x v="991"/>
    <x v="0"/>
    <x v="0"/>
    <x v="3"/>
    <x v="3"/>
    <x v="4"/>
    <x v="1"/>
    <x v="77"/>
    <x v="6"/>
    <x v="1"/>
  </r>
  <r>
    <x v="996"/>
    <x v="992"/>
    <x v="0"/>
    <x v="3"/>
    <x v="3"/>
    <x v="2"/>
    <x v="0"/>
    <x v="0"/>
    <x v="15"/>
    <x v="3"/>
    <x v="1"/>
  </r>
  <r>
    <x v="997"/>
    <x v="993"/>
    <x v="0"/>
    <x v="0"/>
    <x v="3"/>
    <x v="2"/>
    <x v="1"/>
    <x v="1"/>
    <x v="24"/>
    <x v="5"/>
    <x v="0"/>
  </r>
  <r>
    <x v="998"/>
    <x v="994"/>
    <x v="1"/>
    <x v="0"/>
    <x v="4"/>
    <x v="2"/>
    <x v="2"/>
    <x v="0"/>
    <x v="1"/>
    <x v="9"/>
    <x v="1"/>
  </r>
  <r>
    <x v="999"/>
    <x v="995"/>
    <x v="0"/>
    <x v="2"/>
    <x v="1"/>
    <x v="1"/>
    <x v="1"/>
    <x v="1"/>
    <x v="17"/>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23109C-A003-48EA-B44C-AB47C9BFA31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40:O143" firstHeaderRow="1"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3">
        <item x="0"/>
        <item x="1"/>
        <item t="default"/>
      </items>
    </pivotField>
    <pivotField showAll="0"/>
    <pivotField showAll="0">
      <items count="6">
        <item x="0"/>
        <item x="4"/>
        <item x="3"/>
        <item x="1"/>
        <item x="2"/>
        <item t="default"/>
      </items>
    </pivotField>
    <pivotField showAll="0"/>
    <pivotField showAll="0">
      <items count="6">
        <item x="4"/>
        <item x="1"/>
        <item x="3"/>
        <item x="2"/>
        <item x="0"/>
        <item t="default"/>
      </items>
    </pivotField>
    <pivotField showAll="0"/>
    <pivotField showAll="0"/>
    <pivotField showAll="0"/>
    <pivotField axis="axisRow" showAll="0">
      <items count="3">
        <item x="1"/>
        <item x="0"/>
        <item t="default"/>
      </items>
    </pivotField>
  </pivotFields>
  <rowFields count="1">
    <field x="10"/>
  </rowFields>
  <rowItems count="3">
    <i>
      <x/>
    </i>
    <i>
      <x v="1"/>
    </i>
    <i t="grand">
      <x/>
    </i>
  </rowItems>
  <colItems count="1">
    <i/>
  </colItems>
  <dataFields count="1">
    <dataField name="Count of Stu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51BCC5-54D3-4B91-95A7-85BC3B8784F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Q5:R11" firstHeaderRow="1" firstDataRow="1" firstDataCol="1"/>
  <pivotFields count="11">
    <pivotField showAll="0"/>
    <pivotField showAll="0"/>
    <pivotField showAll="0">
      <items count="3">
        <item x="0"/>
        <item x="1"/>
        <item t="default"/>
      </items>
    </pivotField>
    <pivotField showAll="0"/>
    <pivotField showAll="0">
      <items count="6">
        <item x="0"/>
        <item x="4"/>
        <item x="3"/>
        <item x="1"/>
        <item x="2"/>
        <item t="default"/>
      </items>
    </pivotField>
    <pivotField showAll="0"/>
    <pivotField axis="axisRow" showAll="0">
      <items count="6">
        <item x="4"/>
        <item x="1"/>
        <item x="3"/>
        <item x="2"/>
        <item x="0"/>
        <item t="default"/>
      </items>
    </pivotField>
    <pivotField showAll="0"/>
    <pivotField dataField="1" showAll="0">
      <items count="13">
        <item x="0"/>
        <item x="1"/>
        <item x="2"/>
        <item x="3"/>
        <item x="4"/>
        <item x="5"/>
        <item x="6"/>
        <item x="7"/>
        <item x="8"/>
        <item x="9"/>
        <item x="10"/>
        <item x="11"/>
        <item t="default"/>
      </items>
    </pivotField>
    <pivotField showAll="0">
      <items count="11">
        <item x="6"/>
        <item x="5"/>
        <item x="8"/>
        <item x="4"/>
        <item x="2"/>
        <item x="1"/>
        <item x="0"/>
        <item x="9"/>
        <item x="7"/>
        <item x="3"/>
        <item t="default"/>
      </items>
    </pivotField>
    <pivotField showAll="0">
      <items count="3">
        <item h="1" x="1"/>
        <item x="0"/>
        <item t="default"/>
      </items>
    </pivotField>
  </pivotFields>
  <rowFields count="1">
    <field x="6"/>
  </rowFields>
  <rowItems count="6">
    <i>
      <x/>
    </i>
    <i>
      <x v="1"/>
    </i>
    <i>
      <x v="2"/>
    </i>
    <i>
      <x v="3"/>
    </i>
    <i>
      <x v="4"/>
    </i>
    <i t="grand">
      <x/>
    </i>
  </rowItems>
  <colItems count="1">
    <i/>
  </colItems>
  <dataFields count="1">
    <dataField name="Average of Score" fld="8" subtotal="average" baseField="6"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6" count="1" selected="0">
            <x v="0"/>
          </reference>
        </references>
      </pivotArea>
    </chartFormat>
    <chartFormat chart="4" format="14">
      <pivotArea type="data" outline="0" fieldPosition="0">
        <references count="2">
          <reference field="4294967294" count="1" selected="0">
            <x v="0"/>
          </reference>
          <reference field="6" count="1" selected="0">
            <x v="1"/>
          </reference>
        </references>
      </pivotArea>
    </chartFormat>
    <chartFormat chart="4" format="15">
      <pivotArea type="data" outline="0" fieldPosition="0">
        <references count="2">
          <reference field="4294967294" count="1" selected="0">
            <x v="0"/>
          </reference>
          <reference field="6" count="1" selected="0">
            <x v="2"/>
          </reference>
        </references>
      </pivotArea>
    </chartFormat>
    <chartFormat chart="4" format="16">
      <pivotArea type="data" outline="0" fieldPosition="0">
        <references count="2">
          <reference field="4294967294" count="1" selected="0">
            <x v="0"/>
          </reference>
          <reference field="6" count="1" selected="0">
            <x v="3"/>
          </reference>
        </references>
      </pivotArea>
    </chartFormat>
    <chartFormat chart="4"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0CC7B6-601F-40EF-BB38-2CBFC5037B3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V4" firstHeaderRow="1" firstDataRow="1" firstDataCol="0" rowPageCount="1" colPageCount="1"/>
  <pivotFields count="11">
    <pivotField dataField="1" showAll="0"/>
    <pivotField showAll="0"/>
    <pivotField showAll="0">
      <items count="3">
        <item x="0"/>
        <item x="1"/>
        <item t="default"/>
      </items>
    </pivotField>
    <pivotField showAll="0"/>
    <pivotField showAll="0">
      <items count="6">
        <item x="0"/>
        <item x="4"/>
        <item x="3"/>
        <item x="1"/>
        <item x="2"/>
        <item t="default"/>
      </items>
    </pivotField>
    <pivotField showAll="0"/>
    <pivotField showAll="0">
      <items count="6">
        <item x="4"/>
        <item x="1"/>
        <item x="3"/>
        <item x="2"/>
        <item x="0"/>
        <item t="default"/>
      </items>
    </pivotField>
    <pivotField showAll="0"/>
    <pivotField showAll="0">
      <items count="13">
        <item x="0"/>
        <item x="1"/>
        <item x="2"/>
        <item x="3"/>
        <item x="4"/>
        <item x="5"/>
        <item x="6"/>
        <item x="7"/>
        <item x="8"/>
        <item x="9"/>
        <item x="10"/>
        <item x="11"/>
        <item t="default"/>
      </items>
    </pivotField>
    <pivotField showAll="0">
      <items count="11">
        <item x="6"/>
        <item x="5"/>
        <item x="8"/>
        <item x="4"/>
        <item x="2"/>
        <item x="1"/>
        <item x="0"/>
        <item x="9"/>
        <item x="7"/>
        <item x="3"/>
        <item t="default"/>
      </items>
    </pivotField>
    <pivotField axis="axisPage" showAll="0">
      <items count="3">
        <item x="1"/>
        <item x="0"/>
        <item t="default"/>
      </items>
    </pivotField>
  </pivotFields>
  <rowItems count="1">
    <i/>
  </rowItems>
  <colItems count="1">
    <i/>
  </colItems>
  <pageFields count="1">
    <pageField fld="10" item="1" hier="-1"/>
  </pageFields>
  <dataFields count="1">
    <dataField name="Count of Stu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5DE61D-2196-4A66-B537-850E8827B20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6:M7" firstHeaderRow="1" firstDataRow="1" firstDataCol="0" rowPageCount="1" colPageCount="1"/>
  <pivotFields count="11">
    <pivotField dataField="1" showAll="0"/>
    <pivotField showAll="0"/>
    <pivotField showAll="0">
      <items count="3">
        <item x="0"/>
        <item x="1"/>
        <item t="default"/>
      </items>
    </pivotField>
    <pivotField showAll="0"/>
    <pivotField showAll="0">
      <items count="6">
        <item x="0"/>
        <item x="4"/>
        <item x="3"/>
        <item x="1"/>
        <item x="2"/>
        <item t="default"/>
      </items>
    </pivotField>
    <pivotField showAll="0"/>
    <pivotField showAll="0">
      <items count="6">
        <item x="4"/>
        <item x="1"/>
        <item x="3"/>
        <item x="2"/>
        <item x="0"/>
        <item t="default"/>
      </items>
    </pivotField>
    <pivotField showAll="0"/>
    <pivotField showAll="0">
      <items count="13">
        <item x="0"/>
        <item x="1"/>
        <item x="2"/>
        <item x="3"/>
        <item x="4"/>
        <item x="5"/>
        <item x="6"/>
        <item x="7"/>
        <item x="8"/>
        <item x="9"/>
        <item x="10"/>
        <item x="11"/>
        <item t="default"/>
      </items>
    </pivotField>
    <pivotField showAll="0">
      <items count="11">
        <item x="6"/>
        <item x="5"/>
        <item x="8"/>
        <item x="4"/>
        <item x="2"/>
        <item x="1"/>
        <item x="0"/>
        <item x="9"/>
        <item x="7"/>
        <item x="3"/>
        <item t="default"/>
      </items>
    </pivotField>
    <pivotField axis="axisPage" showAll="0" defaultSubtotal="0">
      <items count="2">
        <item x="1"/>
        <item x="0"/>
      </items>
    </pivotField>
  </pivotFields>
  <rowItems count="1">
    <i/>
  </rowItems>
  <colItems count="1">
    <i/>
  </colItems>
  <pageFields count="1">
    <pageField fld="10" item="1" hier="-1"/>
  </pageFields>
  <dataFields count="1">
    <dataField name="Count of Stu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7F8330-7833-48F2-A1C8-FB24034EC44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16:R19" firstHeaderRow="1" firstDataRow="1" firstDataCol="1"/>
  <pivotFields count="11">
    <pivotField showAll="0"/>
    <pivotField showAll="0"/>
    <pivotField showAll="0">
      <items count="3">
        <item x="0"/>
        <item x="1"/>
        <item t="default"/>
      </items>
    </pivotField>
    <pivotField showAll="0"/>
    <pivotField showAll="0">
      <items count="6">
        <item x="0"/>
        <item x="4"/>
        <item x="3"/>
        <item x="1"/>
        <item x="2"/>
        <item t="default"/>
      </items>
    </pivotField>
    <pivotField showAll="0"/>
    <pivotField showAll="0">
      <items count="6">
        <item x="4"/>
        <item x="1"/>
        <item x="3"/>
        <item x="2"/>
        <item x="0"/>
        <item t="default"/>
      </items>
    </pivotField>
    <pivotField axis="axisRow" showAll="0">
      <items count="3">
        <item x="0"/>
        <item x="1"/>
        <item t="default"/>
      </items>
    </pivotField>
    <pivotField dataField="1" showAll="0">
      <items count="13">
        <item x="0"/>
        <item x="1"/>
        <item x="2"/>
        <item x="3"/>
        <item x="4"/>
        <item x="5"/>
        <item x="6"/>
        <item x="7"/>
        <item x="8"/>
        <item x="9"/>
        <item x="10"/>
        <item x="11"/>
        <item t="default"/>
      </items>
    </pivotField>
    <pivotField showAll="0">
      <items count="11">
        <item x="6"/>
        <item x="5"/>
        <item x="8"/>
        <item x="4"/>
        <item x="2"/>
        <item x="1"/>
        <item x="0"/>
        <item x="9"/>
        <item x="7"/>
        <item x="3"/>
        <item t="default"/>
      </items>
    </pivotField>
    <pivotField showAll="0">
      <items count="3">
        <item h="1" x="1"/>
        <item x="0"/>
        <item t="default"/>
      </items>
    </pivotField>
  </pivotFields>
  <rowFields count="1">
    <field x="7"/>
  </rowFields>
  <rowItems count="3">
    <i>
      <x/>
    </i>
    <i>
      <x v="1"/>
    </i>
    <i t="grand">
      <x/>
    </i>
  </rowItems>
  <colItems count="1">
    <i/>
  </colItems>
  <dataFields count="1">
    <dataField name="Average of Score" fld="8" subtotal="average" baseField="7"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97292D-8057-489C-AF04-0A52500738E2}"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0:D151" firstHeaderRow="1" firstDataRow="1" firstDataCol="1"/>
  <pivotFields count="11">
    <pivotField dataField="1" showAll="0"/>
    <pivotField showAll="0"/>
    <pivotField showAll="0">
      <items count="3">
        <item x="0"/>
        <item x="1"/>
        <item t="default"/>
      </items>
    </pivotField>
    <pivotField showAll="0"/>
    <pivotField showAll="0">
      <items count="6">
        <item x="0"/>
        <item x="4"/>
        <item x="3"/>
        <item x="1"/>
        <item x="2"/>
        <item t="default"/>
      </items>
    </pivotField>
    <pivotField showAll="0"/>
    <pivotField showAll="0">
      <items count="6">
        <item x="4"/>
        <item x="1"/>
        <item x="3"/>
        <item x="2"/>
        <item x="0"/>
        <item t="default"/>
      </items>
    </pivotField>
    <pivotField showAll="0"/>
    <pivotField axis="axisRow" showAll="0" sortType="descending">
      <items count="13">
        <item x="10"/>
        <item x="9"/>
        <item x="8"/>
        <item x="7"/>
        <item x="6"/>
        <item x="5"/>
        <item x="4"/>
        <item x="3"/>
        <item x="2"/>
        <item x="1"/>
        <item x="11"/>
        <item x="0"/>
        <item t="default"/>
      </items>
    </pivotField>
    <pivotField showAll="0"/>
    <pivotField showAll="0"/>
  </pivotFields>
  <rowFields count="1">
    <field x="8"/>
  </rowFields>
  <rowItems count="11">
    <i>
      <x/>
    </i>
    <i>
      <x v="1"/>
    </i>
    <i>
      <x v="2"/>
    </i>
    <i>
      <x v="3"/>
    </i>
    <i>
      <x v="4"/>
    </i>
    <i>
      <x v="5"/>
    </i>
    <i>
      <x v="6"/>
    </i>
    <i>
      <x v="7"/>
    </i>
    <i>
      <x v="8"/>
    </i>
    <i>
      <x v="9"/>
    </i>
    <i t="grand">
      <x/>
    </i>
  </rowItems>
  <colItems count="1">
    <i/>
  </colItems>
  <dataFields count="1">
    <dataField name="Count of Stu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239FE2-8FBA-4F75-9973-7ABD54823FB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1">
    <pivotField showAll="0"/>
    <pivotField showAll="0"/>
    <pivotField showAll="0">
      <items count="3">
        <item x="0"/>
        <item x="1"/>
        <item t="default"/>
      </items>
    </pivotField>
    <pivotField showAll="0"/>
    <pivotField showAll="0">
      <items count="6">
        <item x="0"/>
        <item x="4"/>
        <item x="3"/>
        <item x="1"/>
        <item x="2"/>
        <item t="default"/>
      </items>
    </pivotField>
    <pivotField showAll="0"/>
    <pivotField showAll="0">
      <items count="6">
        <item x="4"/>
        <item x="1"/>
        <item x="3"/>
        <item x="2"/>
        <item x="0"/>
        <item t="default"/>
      </items>
    </pivotField>
    <pivotField showAll="0"/>
    <pivotField dataField="1" showAll="0">
      <items count="13">
        <item x="0"/>
        <item x="1"/>
        <item x="2"/>
        <item x="3"/>
        <item x="4"/>
        <item x="5"/>
        <item x="6"/>
        <item x="7"/>
        <item x="8"/>
        <item x="9"/>
        <item x="10"/>
        <item x="11"/>
        <item t="default"/>
      </items>
    </pivotField>
    <pivotField showAll="0">
      <items count="11">
        <item x="6"/>
        <item x="5"/>
        <item x="8"/>
        <item x="4"/>
        <item x="2"/>
        <item x="1"/>
        <item x="0"/>
        <item x="9"/>
        <item x="7"/>
        <item x="3"/>
        <item t="default"/>
      </items>
    </pivotField>
    <pivotField showAll="0">
      <items count="3">
        <item h="1" x="1"/>
        <item x="0"/>
        <item t="default"/>
      </items>
    </pivotField>
  </pivotFields>
  <rowItems count="1">
    <i/>
  </rowItems>
  <colItems count="1">
    <i/>
  </colItems>
  <dataFields count="1">
    <dataField name="Average of Scor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8D3FBF-E442-4B43-8834-5C5B86D69BD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9:M30" firstHeaderRow="1" firstDataRow="1" firstDataCol="1"/>
  <pivotFields count="11">
    <pivotField showAll="0"/>
    <pivotField showAll="0"/>
    <pivotField showAll="0">
      <items count="3">
        <item x="0"/>
        <item x="1"/>
        <item t="default"/>
      </items>
    </pivotField>
    <pivotField showAll="0"/>
    <pivotField showAll="0">
      <items count="6">
        <item x="0"/>
        <item x="4"/>
        <item x="3"/>
        <item x="1"/>
        <item x="2"/>
        <item t="default"/>
      </items>
    </pivotField>
    <pivotField showAll="0"/>
    <pivotField showAll="0">
      <items count="6">
        <item x="4"/>
        <item x="1"/>
        <item x="3"/>
        <item x="2"/>
        <item x="0"/>
        <item t="default"/>
      </items>
    </pivotField>
    <pivotField showAll="0"/>
    <pivotField dataField="1" showAll="0">
      <items count="13">
        <item x="0"/>
        <item x="1"/>
        <item x="2"/>
        <item x="3"/>
        <item x="4"/>
        <item x="5"/>
        <item x="6"/>
        <item x="7"/>
        <item x="8"/>
        <item x="9"/>
        <item x="10"/>
        <item x="11"/>
        <item t="default"/>
      </items>
    </pivotField>
    <pivotField axis="axisRow" showAll="0">
      <items count="11">
        <item x="6"/>
        <item x="5"/>
        <item x="8"/>
        <item x="4"/>
        <item x="2"/>
        <item x="1"/>
        <item x="0"/>
        <item x="9"/>
        <item x="7"/>
        <item x="3"/>
        <item t="default"/>
      </items>
    </pivotField>
    <pivotField showAll="0">
      <items count="3">
        <item h="1" x="1"/>
        <item x="0"/>
        <item t="default"/>
      </items>
    </pivotField>
  </pivotFields>
  <rowFields count="1">
    <field x="9"/>
  </rowFields>
  <rowItems count="11">
    <i>
      <x/>
    </i>
    <i>
      <x v="1"/>
    </i>
    <i>
      <x v="2"/>
    </i>
    <i>
      <x v="3"/>
    </i>
    <i>
      <x v="4"/>
    </i>
    <i>
      <x v="5"/>
    </i>
    <i>
      <x v="6"/>
    </i>
    <i>
      <x v="7"/>
    </i>
    <i>
      <x v="8"/>
    </i>
    <i>
      <x v="9"/>
    </i>
    <i t="grand">
      <x/>
    </i>
  </rowItems>
  <colItems count="1">
    <i/>
  </colItems>
  <dataFields count="1">
    <dataField name="Sum of Score" fld="8" baseField="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2DBFFF-ECC1-471C-87F9-FEC88259C9D3}"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39:M45" firstHeaderRow="1" firstDataRow="1" firstDataCol="1"/>
  <pivotFields count="11">
    <pivotField dataField="1" showAll="0"/>
    <pivotField showAll="0"/>
    <pivotField showAll="0">
      <items count="3">
        <item x="0"/>
        <item x="1"/>
        <item t="default"/>
      </items>
    </pivotField>
    <pivotField showAll="0"/>
    <pivotField showAll="0">
      <items count="6">
        <item x="0"/>
        <item x="4"/>
        <item x="3"/>
        <item x="1"/>
        <item x="2"/>
        <item t="default"/>
      </items>
    </pivotField>
    <pivotField showAll="0"/>
    <pivotField showAll="0">
      <items count="6">
        <item x="4"/>
        <item x="1"/>
        <item x="3"/>
        <item x="2"/>
        <item x="0"/>
        <item t="default"/>
      </items>
    </pivotField>
    <pivotField showAll="0"/>
    <pivotField axis="axisRow" showAll="0">
      <items count="13">
        <item x="0"/>
        <item x="1"/>
        <item x="2"/>
        <item x="3"/>
        <item x="4"/>
        <item x="5"/>
        <item x="6"/>
        <item x="7"/>
        <item x="8"/>
        <item x="9"/>
        <item x="10"/>
        <item x="11"/>
        <item t="default"/>
      </items>
    </pivotField>
    <pivotField showAll="0">
      <items count="11">
        <item x="6"/>
        <item x="5"/>
        <item x="8"/>
        <item x="4"/>
        <item x="2"/>
        <item x="1"/>
        <item x="0"/>
        <item x="9"/>
        <item x="7"/>
        <item x="3"/>
        <item t="default"/>
      </items>
    </pivotField>
    <pivotField showAll="0">
      <items count="3">
        <item h="1" x="1"/>
        <item x="0"/>
        <item t="default"/>
      </items>
    </pivotField>
  </pivotFields>
  <rowFields count="1">
    <field x="8"/>
  </rowFields>
  <rowItems count="6">
    <i>
      <x v="6"/>
    </i>
    <i>
      <x v="7"/>
    </i>
    <i>
      <x v="8"/>
    </i>
    <i>
      <x v="9"/>
    </i>
    <i>
      <x v="10"/>
    </i>
    <i t="grand">
      <x/>
    </i>
  </rowItems>
  <colItems count="1">
    <i/>
  </colItems>
  <dataFields count="1">
    <dataField name="Count of Stud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662779-9A29-4929-B7FB-FA958A2A7A4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9" firstHeaderRow="1" firstDataRow="1" firstDataCol="0"/>
  <pivotFields count="11">
    <pivotField dataField="1" showAll="0"/>
    <pivotField showAll="0"/>
    <pivotField showAll="0">
      <items count="3">
        <item x="0"/>
        <item x="1"/>
        <item t="default"/>
      </items>
    </pivotField>
    <pivotField showAll="0"/>
    <pivotField showAll="0">
      <items count="6">
        <item x="0"/>
        <item x="4"/>
        <item x="3"/>
        <item x="1"/>
        <item x="2"/>
        <item t="default"/>
      </items>
    </pivotField>
    <pivotField showAll="0"/>
    <pivotField showAll="0">
      <items count="6">
        <item x="4"/>
        <item x="1"/>
        <item x="3"/>
        <item x="2"/>
        <item x="0"/>
        <item t="default"/>
      </items>
    </pivotField>
    <pivotField showAll="0"/>
    <pivotField showAll="0">
      <items count="13">
        <item x="0"/>
        <item x="1"/>
        <item x="2"/>
        <item x="3"/>
        <item x="4"/>
        <item x="5"/>
        <item x="6"/>
        <item x="7"/>
        <item x="8"/>
        <item x="9"/>
        <item x="10"/>
        <item x="11"/>
        <item t="default"/>
      </items>
    </pivotField>
    <pivotField showAll="0">
      <items count="11">
        <item x="6"/>
        <item x="5"/>
        <item x="8"/>
        <item x="4"/>
        <item x="2"/>
        <item x="1"/>
        <item x="0"/>
        <item x="9"/>
        <item x="7"/>
        <item x="3"/>
        <item t="default"/>
      </items>
    </pivotField>
    <pivotField showAll="0">
      <items count="3">
        <item h="1" x="1"/>
        <item x="0"/>
        <item t="default"/>
      </items>
    </pivotField>
  </pivotFields>
  <rowItems count="1">
    <i/>
  </rowItems>
  <colItems count="1">
    <i/>
  </colItems>
  <dataFields count="1">
    <dataField name="Count of Stu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6C3ECC-B90F-450C-8102-7B2F7401FC0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6:H21" firstHeaderRow="1" firstDataRow="1" firstDataCol="1"/>
  <pivotFields count="11">
    <pivotField showAll="0"/>
    <pivotField showAll="0"/>
    <pivotField showAll="0">
      <items count="3">
        <item x="0"/>
        <item x="1"/>
        <item t="default"/>
      </items>
    </pivotField>
    <pivotField showAll="0"/>
    <pivotField showAll="0">
      <items count="6">
        <item x="0"/>
        <item x="4"/>
        <item x="3"/>
        <item x="1"/>
        <item x="2"/>
        <item t="default"/>
      </items>
    </pivotField>
    <pivotField axis="axisRow" showAll="0">
      <items count="5">
        <item x="3"/>
        <item x="2"/>
        <item x="0"/>
        <item x="1"/>
        <item t="default"/>
      </items>
    </pivotField>
    <pivotField showAll="0">
      <items count="6">
        <item x="4"/>
        <item x="1"/>
        <item x="3"/>
        <item x="2"/>
        <item x="0"/>
        <item t="default"/>
      </items>
    </pivotField>
    <pivotField showAll="0"/>
    <pivotField dataField="1" showAll="0">
      <items count="13">
        <item x="0"/>
        <item x="1"/>
        <item x="2"/>
        <item x="3"/>
        <item x="4"/>
        <item x="5"/>
        <item x="6"/>
        <item x="7"/>
        <item x="8"/>
        <item x="9"/>
        <item x="10"/>
        <item x="11"/>
        <item t="default"/>
      </items>
    </pivotField>
    <pivotField showAll="0">
      <items count="11">
        <item x="6"/>
        <item x="5"/>
        <item x="8"/>
        <item x="4"/>
        <item x="2"/>
        <item x="1"/>
        <item x="0"/>
        <item x="9"/>
        <item x="7"/>
        <item x="3"/>
        <item t="default"/>
      </items>
    </pivotField>
    <pivotField showAll="0">
      <items count="3">
        <item h="1" x="1"/>
        <item x="0"/>
        <item t="default"/>
      </items>
    </pivotField>
  </pivotFields>
  <rowFields count="1">
    <field x="5"/>
  </rowFields>
  <rowItems count="5">
    <i>
      <x/>
    </i>
    <i>
      <x v="1"/>
    </i>
    <i>
      <x v="2"/>
    </i>
    <i>
      <x v="3"/>
    </i>
    <i t="grand">
      <x/>
    </i>
  </rowItems>
  <colItems count="1">
    <i/>
  </colItems>
  <dataFields count="1">
    <dataField name="Sum of Score" fld="8" baseField="0" baseItem="0"/>
  </dataFields>
  <chartFormats count="10">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5" count="1" selected="0">
            <x v="0"/>
          </reference>
        </references>
      </pivotArea>
    </chartFormat>
    <chartFormat chart="9" format="8">
      <pivotArea type="data" outline="0" fieldPosition="0">
        <references count="2">
          <reference field="4294967294" count="1" selected="0">
            <x v="0"/>
          </reference>
          <reference field="5" count="1" selected="0">
            <x v="1"/>
          </reference>
        </references>
      </pivotArea>
    </chartFormat>
    <chartFormat chart="9" format="9">
      <pivotArea type="data" outline="0" fieldPosition="0">
        <references count="2">
          <reference field="4294967294" count="1" selected="0">
            <x v="0"/>
          </reference>
          <reference field="5" count="1" selected="0">
            <x v="2"/>
          </reference>
        </references>
      </pivotArea>
    </chartFormat>
    <chartFormat chart="9" format="10">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15CDD9-78D0-4994-B011-676FBB9F24D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6:C22" firstHeaderRow="1" firstDataRow="1" firstDataCol="1"/>
  <pivotFields count="11">
    <pivotField showAll="0"/>
    <pivotField showAll="0"/>
    <pivotField showAll="0">
      <items count="3">
        <item x="0"/>
        <item x="1"/>
        <item t="default"/>
      </items>
    </pivotField>
    <pivotField showAll="0"/>
    <pivotField axis="axisRow" showAll="0">
      <items count="6">
        <item x="0"/>
        <item x="4"/>
        <item x="3"/>
        <item x="1"/>
        <item x="2"/>
        <item t="default"/>
      </items>
    </pivotField>
    <pivotField showAll="0"/>
    <pivotField showAll="0">
      <items count="6">
        <item x="4"/>
        <item x="1"/>
        <item x="3"/>
        <item x="2"/>
        <item x="0"/>
        <item t="default"/>
      </items>
    </pivotField>
    <pivotField showAll="0"/>
    <pivotField dataField="1" showAll="0">
      <items count="13">
        <item x="0"/>
        <item x="1"/>
        <item x="2"/>
        <item x="3"/>
        <item x="4"/>
        <item x="5"/>
        <item x="6"/>
        <item x="7"/>
        <item x="8"/>
        <item x="9"/>
        <item x="10"/>
        <item x="11"/>
        <item t="default"/>
      </items>
    </pivotField>
    <pivotField showAll="0">
      <items count="11">
        <item x="6"/>
        <item x="5"/>
        <item x="8"/>
        <item x="4"/>
        <item x="2"/>
        <item x="1"/>
        <item x="0"/>
        <item x="9"/>
        <item x="7"/>
        <item x="3"/>
        <item t="default"/>
      </items>
    </pivotField>
    <pivotField showAll="0">
      <items count="3">
        <item h="1" x="1"/>
        <item x="0"/>
        <item t="default"/>
      </items>
    </pivotField>
  </pivotFields>
  <rowFields count="1">
    <field x="4"/>
  </rowFields>
  <rowItems count="6">
    <i>
      <x/>
    </i>
    <i>
      <x v="1"/>
    </i>
    <i>
      <x v="2"/>
    </i>
    <i>
      <x v="3"/>
    </i>
    <i>
      <x v="4"/>
    </i>
    <i t="grand">
      <x/>
    </i>
  </rowItems>
  <colItems count="1">
    <i/>
  </colItems>
  <dataFields count="1">
    <dataField name="Average of Score" fld="8" subtotal="average" baseField="4"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76EE8A-F4DA-41D3-B7DA-CE1CB371EF01}"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3:W19" firstHeaderRow="1"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3">
        <item x="0"/>
        <item x="1"/>
        <item t="default"/>
      </items>
    </pivotField>
    <pivotField showAll="0"/>
    <pivotField showAll="0">
      <items count="6">
        <item x="0"/>
        <item x="4"/>
        <item x="3"/>
        <item x="1"/>
        <item x="2"/>
        <item t="default"/>
      </items>
    </pivotField>
    <pivotField showAll="0"/>
    <pivotField showAll="0">
      <items count="6">
        <item x="4"/>
        <item x="1"/>
        <item x="3"/>
        <item x="2"/>
        <item x="0"/>
        <item t="default"/>
      </items>
    </pivotField>
    <pivotField showAll="0"/>
    <pivotField axis="axisRow" showAll="0">
      <items count="13">
        <item x="0"/>
        <item x="1"/>
        <item x="2"/>
        <item x="3"/>
        <item x="4"/>
        <item x="5"/>
        <item x="6"/>
        <item x="7"/>
        <item x="8"/>
        <item x="9"/>
        <item x="10"/>
        <item x="11"/>
        <item t="default"/>
      </items>
    </pivotField>
    <pivotField showAll="0">
      <items count="11">
        <item x="6"/>
        <item x="5"/>
        <item x="8"/>
        <item x="4"/>
        <item x="2"/>
        <item x="1"/>
        <item x="0"/>
        <item x="9"/>
        <item x="7"/>
        <item x="3"/>
        <item t="default"/>
      </items>
    </pivotField>
    <pivotField showAll="0">
      <items count="3">
        <item h="1" x="1"/>
        <item x="0"/>
        <item t="default"/>
      </items>
    </pivotField>
  </pivotFields>
  <rowFields count="1">
    <field x="8"/>
  </rowFields>
  <rowItems count="6">
    <i>
      <x v="6"/>
    </i>
    <i>
      <x v="7"/>
    </i>
    <i>
      <x v="8"/>
    </i>
    <i>
      <x v="9"/>
    </i>
    <i>
      <x v="10"/>
    </i>
    <i t="grand">
      <x/>
    </i>
  </rowItems>
  <colItems count="1">
    <i/>
  </colItems>
  <dataFields count="1">
    <dataField name="Count of Student 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 xr10:uid="{4D93D9F5-8624-48E8-B543-AFF1A9C90220}" sourceName="School">
  <pivotTables>
    <pivotTable tabId="3" name="PivotTable14"/>
    <pivotTable tabId="3" name="PivotTable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16"/>
    <pivotTable tabId="3" name="PivotTable9"/>
  </pivotTables>
  <data>
    <tabular pivotCacheId="1842943518">
      <items count="5">
        <i x="0" s="1"/>
        <i x="4"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cher" xr10:uid="{2A035A24-5444-42EF-B0A7-906074FC559B}" sourceName="Teacher">
  <pivotTables>
    <pivotTable tabId="3" name="PivotTable14"/>
    <pivotTable tabId="3" name="PivotTable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s>
  <data>
    <tabular pivotCacheId="1842943518">
      <items count="10">
        <i x="6" s="1"/>
        <i x="5" s="1"/>
        <i x="8" s="1"/>
        <i x="4" s="1"/>
        <i x="2" s="1"/>
        <i x="1" s="1"/>
        <i x="0" s="1"/>
        <i x="9" s="1"/>
        <i x="7"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 xr10:uid="{A36AC222-EB1E-46F8-8E85-07027E563E81}" sourceName="Pass">
  <pivotTables>
    <pivotTable tabId="3" name="PivotTable14"/>
    <pivotTable tabId="3" name="PivotTable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s>
  <data>
    <tabular pivotCacheId="1842943518">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8E51D38-3E68-4DF8-8C6D-F8815470DF6A}" sourceName="Gender">
  <pivotTables>
    <pivotTable tabId="3" name="PivotTable4"/>
    <pivotTable tabId="3" name="PivotTable1"/>
    <pivotTable tabId="3" name="PivotTable12"/>
    <pivotTable tabId="3" name="PivotTable13"/>
    <pivotTable tabId="3" name="PivotTable14"/>
    <pivotTable tabId="3" name="PivotTable2"/>
    <pivotTable tabId="3" name="PivotTable3"/>
    <pivotTable tabId="3" name="PivotTable5"/>
    <pivotTable tabId="3" name="PivotTable6"/>
    <pivotTable tabId="3" name="PivotTable7"/>
    <pivotTable tabId="3" name="PivotTable8"/>
    <pivotTable tabId="3" name="PivotTable16"/>
    <pivotTable tabId="3" name="PivotTable9"/>
  </pivotTables>
  <data>
    <tabular pivotCacheId="184294351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2B2F6D3F-EE5B-401E-88CA-D6CD80F2F78F}" sourceName="Subject">
  <pivotTables>
    <pivotTable tabId="3" name="PivotTable7"/>
    <pivotTable tabId="3" name="PivotTable1"/>
    <pivotTable tabId="3" name="PivotTable12"/>
    <pivotTable tabId="3" name="PivotTable13"/>
    <pivotTable tabId="3" name="PivotTable14"/>
    <pivotTable tabId="3" name="PivotTable16"/>
    <pivotTable tabId="3" name="PivotTable2"/>
    <pivotTable tabId="3" name="PivotTable3"/>
    <pivotTable tabId="3" name="PivotTable4"/>
    <pivotTable tabId="3" name="PivotTable5"/>
    <pivotTable tabId="3" name="PivotTable6"/>
    <pivotTable tabId="3" name="PivotTable8"/>
    <pivotTable tabId="3" name="PivotTable9"/>
  </pivotTables>
  <data>
    <tabular pivotCacheId="1842943518">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ool" xr10:uid="{D75361DE-B08E-48E4-8120-99AAEB4DFCAD}" cache="Slicer_School" caption="School" startItem="2" rowHeight="234950"/>
  <slicer name="Teacher" xr10:uid="{FD3FF8FC-E2BA-4CB0-BB3D-178F07DC282F}" cache="Slicer_Teacher" caption="Teacher" rowHeight="234950"/>
  <slicer name="Pass" xr10:uid="{20EC43E1-1B9B-4A76-8B1F-927F78120FBB}" cache="Slicer_Pass" caption="Pass" rowHeight="234950"/>
  <slicer name="Gender" xr10:uid="{5A897A44-E046-484B-81AA-44D7B36D09EB}" cache="Slicer_Gender" caption="Gender" rowHeight="234950"/>
  <slicer name="Subject" xr10:uid="{7E8A8611-0859-49AE-BCDD-D690E172E8BC}" cache="Slicer_Subject" caption="Subje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ool 1" xr10:uid="{480D0C0E-D1A4-41FB-83B5-9AC934CCC85F}" cache="Slicer_School" caption="School" rowHeight="234950"/>
  <slicer name="Teacher 1" xr10:uid="{6152EBB3-040F-4F46-939B-0D88C81A42D0}" cache="Slicer_Teacher" caption="Teacher" rowHeight="234950"/>
  <slicer name="Gender 1" xr10:uid="{8832B3FC-10BF-4D7A-8546-60FE3DCAC2F6}" cache="Slicer_Gender" caption="Gender" rowHeight="234950"/>
  <slicer name="Subject 1" xr10:uid="{47A0FE3E-5293-43C9-A6A9-D9A19762B1DE}" cache="Slicer_Subject" caption="Subje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8D308D-395F-4394-B5BA-4CC0199AE769}" name="st" displayName="st" ref="A1:K1001" totalsRowShown="0" headerRowDxfId="2" headerRowBorderDxfId="1" tableBorderDxfId="0">
  <autoFilter ref="A1:K1001" xr:uid="{5B8D308D-395F-4394-B5BA-4CC0199AE769}"/>
  <tableColumns count="11">
    <tableColumn id="1" xr3:uid="{6E8EF5F0-C45A-4718-9910-14F07E2A0C4A}" name="Student ID" dataCellStyle="Comma"/>
    <tableColumn id="2" xr3:uid="{AE2A6AE1-A880-4878-8AA4-A4AAC3822585}" name="Name"/>
    <tableColumn id="3" xr3:uid="{67DAC226-E9BE-458B-A04D-DC55EEF7DCC5}" name="Gender"/>
    <tableColumn id="4" xr3:uid="{577267B4-27EB-4652-9AAF-F630E09B99DE}" name="Age"/>
    <tableColumn id="5" xr3:uid="{1638B9E6-39D5-43D7-A665-76B2C6DD29AB}" name="School"/>
    <tableColumn id="6" xr3:uid="{D6F4B9E2-9710-4DDB-9D63-0D0FD5BB58A7}" name="Class"/>
    <tableColumn id="7" xr3:uid="{AC70FBD8-0314-46B1-BB82-77AF62DEECD4}" name="Subject"/>
    <tableColumn id="8" xr3:uid="{690250F1-DFEA-431C-BB02-01446184AA8A}" name="Exam Type"/>
    <tableColumn id="9" xr3:uid="{1F89AE1F-3CBF-42ED-8B56-6314F66DF4AD}" name="Score"/>
    <tableColumn id="10" xr3:uid="{6EB1E452-1841-4995-99CD-2E336EF0FB8E}" name="Teacher"/>
    <tableColumn id="11" xr3:uid="{37009895-8299-4A03-9E6C-2995BB272628}" name="Pas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workbookViewId="0">
      <selection activeCell="M10" sqref="M10"/>
    </sheetView>
  </sheetViews>
  <sheetFormatPr defaultRowHeight="14.4" x14ac:dyDescent="0.3"/>
  <cols>
    <col min="1" max="1" width="11.77734375" style="6" customWidth="1"/>
    <col min="3" max="3" width="9" customWidth="1"/>
    <col min="6" max="6" width="9.5546875" bestFit="1" customWidth="1"/>
    <col min="7" max="7" width="11.77734375" bestFit="1" customWidth="1"/>
    <col min="8" max="8" width="12" customWidth="1"/>
    <col min="10" max="10" width="17.33203125" bestFit="1" customWidth="1"/>
    <col min="17" max="17" width="16.88671875" bestFit="1" customWidth="1"/>
    <col min="27" max="27" width="10.5546875" bestFit="1" customWidth="1"/>
  </cols>
  <sheetData>
    <row r="1" spans="1:27" x14ac:dyDescent="0.3">
      <c r="A1" s="10" t="s">
        <v>0</v>
      </c>
      <c r="B1" s="2" t="s">
        <v>1</v>
      </c>
      <c r="C1" s="2" t="s">
        <v>2</v>
      </c>
      <c r="D1" s="2" t="s">
        <v>3</v>
      </c>
      <c r="E1" s="2" t="s">
        <v>4</v>
      </c>
      <c r="F1" s="2" t="s">
        <v>5</v>
      </c>
      <c r="G1" s="2" t="s">
        <v>6</v>
      </c>
      <c r="H1" s="2" t="s">
        <v>7</v>
      </c>
      <c r="I1" s="2" t="s">
        <v>8</v>
      </c>
      <c r="J1" s="2" t="s">
        <v>9</v>
      </c>
      <c r="K1" s="2" t="s">
        <v>10</v>
      </c>
    </row>
    <row r="2" spans="1:27" x14ac:dyDescent="0.3">
      <c r="A2" s="6" t="s">
        <v>11</v>
      </c>
      <c r="B2" t="s">
        <v>1011</v>
      </c>
      <c r="C2" t="s">
        <v>2007</v>
      </c>
      <c r="D2">
        <v>17</v>
      </c>
      <c r="E2" t="s">
        <v>2009</v>
      </c>
      <c r="F2" t="s">
        <v>2014</v>
      </c>
      <c r="G2" t="s">
        <v>2018</v>
      </c>
      <c r="H2" t="s">
        <v>2023</v>
      </c>
      <c r="I2">
        <v>94</v>
      </c>
      <c r="J2" t="s">
        <v>2025</v>
      </c>
      <c r="K2" t="s">
        <v>2035</v>
      </c>
    </row>
    <row r="3" spans="1:27" x14ac:dyDescent="0.3">
      <c r="A3" s="6" t="s">
        <v>12</v>
      </c>
      <c r="B3" t="s">
        <v>1012</v>
      </c>
      <c r="C3" t="s">
        <v>2008</v>
      </c>
      <c r="D3">
        <v>18</v>
      </c>
      <c r="E3" t="s">
        <v>2010</v>
      </c>
      <c r="F3" t="s">
        <v>2014</v>
      </c>
      <c r="G3" t="s">
        <v>2018</v>
      </c>
      <c r="H3" t="s">
        <v>2023</v>
      </c>
      <c r="I3">
        <v>32</v>
      </c>
      <c r="J3" t="s">
        <v>2025</v>
      </c>
      <c r="K3" t="s">
        <v>2036</v>
      </c>
      <c r="Z3" t="s">
        <v>2037</v>
      </c>
      <c r="AA3" t="s">
        <v>2038</v>
      </c>
    </row>
    <row r="4" spans="1:27" x14ac:dyDescent="0.3">
      <c r="A4" s="6" t="s">
        <v>13</v>
      </c>
      <c r="B4" t="s">
        <v>1013</v>
      </c>
      <c r="C4" t="s">
        <v>2008</v>
      </c>
      <c r="D4">
        <v>14</v>
      </c>
      <c r="E4" t="s">
        <v>2011</v>
      </c>
      <c r="F4" t="s">
        <v>2015</v>
      </c>
      <c r="G4" t="s">
        <v>2019</v>
      </c>
      <c r="H4" t="s">
        <v>2024</v>
      </c>
      <c r="I4">
        <v>30</v>
      </c>
      <c r="J4" t="s">
        <v>2026</v>
      </c>
      <c r="K4" t="s">
        <v>2036</v>
      </c>
      <c r="Z4" t="s">
        <v>2039</v>
      </c>
      <c r="AA4" t="s">
        <v>2040</v>
      </c>
    </row>
    <row r="5" spans="1:27" x14ac:dyDescent="0.3">
      <c r="A5" s="6" t="s">
        <v>14</v>
      </c>
      <c r="B5" t="s">
        <v>1014</v>
      </c>
      <c r="C5" t="s">
        <v>2008</v>
      </c>
      <c r="D5">
        <v>16</v>
      </c>
      <c r="E5" t="s">
        <v>2011</v>
      </c>
      <c r="F5" t="s">
        <v>2015</v>
      </c>
      <c r="G5" t="s">
        <v>2020</v>
      </c>
      <c r="H5" t="s">
        <v>2023</v>
      </c>
      <c r="I5">
        <v>24</v>
      </c>
      <c r="J5" t="s">
        <v>2027</v>
      </c>
      <c r="K5" t="s">
        <v>2036</v>
      </c>
      <c r="Z5" t="s">
        <v>2041</v>
      </c>
      <c r="AA5" t="s">
        <v>2042</v>
      </c>
    </row>
    <row r="6" spans="1:27" x14ac:dyDescent="0.3">
      <c r="A6" s="6" t="s">
        <v>15</v>
      </c>
      <c r="B6" t="s">
        <v>1015</v>
      </c>
      <c r="C6" t="s">
        <v>2007</v>
      </c>
      <c r="D6">
        <v>15</v>
      </c>
      <c r="E6" t="s">
        <v>2009</v>
      </c>
      <c r="F6" t="s">
        <v>2016</v>
      </c>
      <c r="G6" t="s">
        <v>2019</v>
      </c>
      <c r="H6" t="s">
        <v>2023</v>
      </c>
      <c r="I6">
        <v>72</v>
      </c>
      <c r="J6" t="s">
        <v>2028</v>
      </c>
      <c r="K6" t="s">
        <v>2035</v>
      </c>
    </row>
    <row r="7" spans="1:27" x14ac:dyDescent="0.3">
      <c r="A7" s="6" t="s">
        <v>16</v>
      </c>
      <c r="B7" t="s">
        <v>1016</v>
      </c>
      <c r="C7" t="s">
        <v>2008</v>
      </c>
      <c r="D7">
        <v>18</v>
      </c>
      <c r="E7" t="s">
        <v>2012</v>
      </c>
      <c r="F7" t="s">
        <v>2016</v>
      </c>
      <c r="G7" t="s">
        <v>2020</v>
      </c>
      <c r="H7" t="s">
        <v>2024</v>
      </c>
      <c r="I7">
        <v>11</v>
      </c>
      <c r="J7" t="s">
        <v>2026</v>
      </c>
      <c r="K7" t="s">
        <v>2036</v>
      </c>
    </row>
    <row r="8" spans="1:27" x14ac:dyDescent="0.3">
      <c r="A8" s="6" t="s">
        <v>17</v>
      </c>
      <c r="B8" t="s">
        <v>1017</v>
      </c>
      <c r="C8" t="s">
        <v>2007</v>
      </c>
      <c r="D8">
        <v>14</v>
      </c>
      <c r="E8" t="s">
        <v>2010</v>
      </c>
      <c r="F8" t="s">
        <v>2016</v>
      </c>
      <c r="G8" t="s">
        <v>2020</v>
      </c>
      <c r="H8" t="s">
        <v>2023</v>
      </c>
      <c r="I8">
        <v>90</v>
      </c>
      <c r="J8" t="s">
        <v>2029</v>
      </c>
      <c r="K8" t="s">
        <v>2035</v>
      </c>
    </row>
    <row r="9" spans="1:27" x14ac:dyDescent="0.3">
      <c r="A9" s="6" t="s">
        <v>18</v>
      </c>
      <c r="B9" t="s">
        <v>1018</v>
      </c>
      <c r="C9" t="s">
        <v>2007</v>
      </c>
      <c r="D9">
        <v>14</v>
      </c>
      <c r="E9" t="s">
        <v>2011</v>
      </c>
      <c r="F9" t="s">
        <v>2014</v>
      </c>
      <c r="G9" t="s">
        <v>2018</v>
      </c>
      <c r="H9" t="s">
        <v>2024</v>
      </c>
      <c r="I9">
        <v>36</v>
      </c>
      <c r="J9" t="s">
        <v>2027</v>
      </c>
      <c r="K9" t="s">
        <v>2036</v>
      </c>
    </row>
    <row r="10" spans="1:27" x14ac:dyDescent="0.3">
      <c r="A10" s="6" t="s">
        <v>19</v>
      </c>
      <c r="B10" t="s">
        <v>1019</v>
      </c>
      <c r="C10" t="s">
        <v>2007</v>
      </c>
      <c r="D10">
        <v>16</v>
      </c>
      <c r="E10" t="s">
        <v>2012</v>
      </c>
      <c r="F10" t="s">
        <v>2016</v>
      </c>
      <c r="G10" t="s">
        <v>2021</v>
      </c>
      <c r="H10" t="s">
        <v>2023</v>
      </c>
      <c r="I10">
        <v>24</v>
      </c>
      <c r="J10" t="s">
        <v>2030</v>
      </c>
      <c r="K10" t="s">
        <v>2036</v>
      </c>
    </row>
    <row r="11" spans="1:27" x14ac:dyDescent="0.3">
      <c r="A11" s="6" t="s">
        <v>20</v>
      </c>
      <c r="B11" t="s">
        <v>1020</v>
      </c>
      <c r="C11" t="s">
        <v>2007</v>
      </c>
      <c r="D11">
        <v>14</v>
      </c>
      <c r="E11" t="s">
        <v>2013</v>
      </c>
      <c r="F11" t="s">
        <v>2014</v>
      </c>
      <c r="G11" t="s">
        <v>2019</v>
      </c>
      <c r="H11" t="s">
        <v>2023</v>
      </c>
      <c r="I11">
        <v>63</v>
      </c>
      <c r="J11" t="s">
        <v>2027</v>
      </c>
      <c r="K11" t="s">
        <v>2035</v>
      </c>
    </row>
    <row r="12" spans="1:27" x14ac:dyDescent="0.3">
      <c r="A12" s="6" t="s">
        <v>21</v>
      </c>
      <c r="B12" t="s">
        <v>1021</v>
      </c>
      <c r="C12" t="s">
        <v>2007</v>
      </c>
      <c r="D12">
        <v>15</v>
      </c>
      <c r="E12" t="s">
        <v>2009</v>
      </c>
      <c r="F12" t="s">
        <v>2017</v>
      </c>
      <c r="G12" t="s">
        <v>2018</v>
      </c>
      <c r="H12" t="s">
        <v>2024</v>
      </c>
      <c r="I12">
        <v>20</v>
      </c>
      <c r="J12" t="s">
        <v>2027</v>
      </c>
      <c r="K12" t="s">
        <v>2036</v>
      </c>
    </row>
    <row r="13" spans="1:27" x14ac:dyDescent="0.3">
      <c r="A13" s="6" t="s">
        <v>22</v>
      </c>
      <c r="B13" t="s">
        <v>1022</v>
      </c>
      <c r="C13" t="s">
        <v>2007</v>
      </c>
      <c r="D13">
        <v>16</v>
      </c>
      <c r="E13" t="s">
        <v>2012</v>
      </c>
      <c r="F13" t="s">
        <v>2016</v>
      </c>
      <c r="G13" t="s">
        <v>2021</v>
      </c>
      <c r="H13" t="s">
        <v>2023</v>
      </c>
      <c r="I13">
        <v>84</v>
      </c>
      <c r="J13" t="s">
        <v>2026</v>
      </c>
      <c r="K13" t="s">
        <v>2035</v>
      </c>
    </row>
    <row r="14" spans="1:27" x14ac:dyDescent="0.3">
      <c r="A14" s="6" t="s">
        <v>23</v>
      </c>
      <c r="B14" t="s">
        <v>1023</v>
      </c>
      <c r="C14" t="s">
        <v>2007</v>
      </c>
      <c r="D14">
        <v>17</v>
      </c>
      <c r="E14" t="s">
        <v>2013</v>
      </c>
      <c r="F14" t="s">
        <v>2014</v>
      </c>
      <c r="G14" t="s">
        <v>2022</v>
      </c>
      <c r="H14" t="s">
        <v>2024</v>
      </c>
      <c r="I14">
        <v>63</v>
      </c>
      <c r="J14" t="s">
        <v>2031</v>
      </c>
      <c r="K14" t="s">
        <v>2035</v>
      </c>
    </row>
    <row r="15" spans="1:27" x14ac:dyDescent="0.3">
      <c r="A15" s="6" t="s">
        <v>24</v>
      </c>
      <c r="B15" t="s">
        <v>1024</v>
      </c>
      <c r="C15" t="s">
        <v>2008</v>
      </c>
      <c r="D15">
        <v>17</v>
      </c>
      <c r="E15" t="s">
        <v>2010</v>
      </c>
      <c r="F15" t="s">
        <v>2017</v>
      </c>
      <c r="G15" t="s">
        <v>2019</v>
      </c>
      <c r="H15" t="s">
        <v>2024</v>
      </c>
      <c r="I15">
        <v>90</v>
      </c>
      <c r="J15" t="s">
        <v>2030</v>
      </c>
      <c r="K15" t="s">
        <v>2035</v>
      </c>
    </row>
    <row r="16" spans="1:27" x14ac:dyDescent="0.3">
      <c r="A16" s="6" t="s">
        <v>25</v>
      </c>
      <c r="B16" t="s">
        <v>1025</v>
      </c>
      <c r="C16" t="s">
        <v>2007</v>
      </c>
      <c r="D16">
        <v>17</v>
      </c>
      <c r="E16" t="s">
        <v>2011</v>
      </c>
      <c r="F16" t="s">
        <v>2017</v>
      </c>
      <c r="G16" t="s">
        <v>2019</v>
      </c>
      <c r="H16" t="s">
        <v>2023</v>
      </c>
      <c r="I16">
        <v>40</v>
      </c>
      <c r="J16" t="s">
        <v>2032</v>
      </c>
      <c r="K16" t="s">
        <v>2036</v>
      </c>
    </row>
    <row r="17" spans="1:17" x14ac:dyDescent="0.3">
      <c r="A17" s="6" t="s">
        <v>26</v>
      </c>
      <c r="B17" t="s">
        <v>1026</v>
      </c>
      <c r="C17" t="s">
        <v>2007</v>
      </c>
      <c r="D17">
        <v>16</v>
      </c>
      <c r="E17" t="s">
        <v>2013</v>
      </c>
      <c r="F17" t="s">
        <v>2015</v>
      </c>
      <c r="G17" t="s">
        <v>2020</v>
      </c>
      <c r="H17" t="s">
        <v>2023</v>
      </c>
      <c r="I17">
        <v>53</v>
      </c>
      <c r="J17" t="s">
        <v>2031</v>
      </c>
      <c r="K17" t="s">
        <v>2035</v>
      </c>
    </row>
    <row r="18" spans="1:17" x14ac:dyDescent="0.3">
      <c r="A18" s="6" t="s">
        <v>27</v>
      </c>
      <c r="B18" t="s">
        <v>1027</v>
      </c>
      <c r="C18" t="s">
        <v>2008</v>
      </c>
      <c r="D18">
        <v>16</v>
      </c>
      <c r="E18" t="s">
        <v>2013</v>
      </c>
      <c r="F18" t="s">
        <v>2017</v>
      </c>
      <c r="G18" t="s">
        <v>2022</v>
      </c>
      <c r="H18" t="s">
        <v>2023</v>
      </c>
      <c r="I18">
        <v>96</v>
      </c>
      <c r="J18" t="s">
        <v>2026</v>
      </c>
      <c r="K18" t="s">
        <v>2035</v>
      </c>
    </row>
    <row r="19" spans="1:17" x14ac:dyDescent="0.3">
      <c r="A19" s="6" t="s">
        <v>28</v>
      </c>
      <c r="B19" t="s">
        <v>1028</v>
      </c>
      <c r="C19" t="s">
        <v>2007</v>
      </c>
      <c r="D19">
        <v>18</v>
      </c>
      <c r="E19" t="s">
        <v>2013</v>
      </c>
      <c r="F19" t="s">
        <v>2017</v>
      </c>
      <c r="G19" t="s">
        <v>2020</v>
      </c>
      <c r="H19" t="s">
        <v>2024</v>
      </c>
      <c r="I19">
        <v>37</v>
      </c>
      <c r="J19" t="s">
        <v>2027</v>
      </c>
      <c r="K19" t="s">
        <v>2036</v>
      </c>
    </row>
    <row r="20" spans="1:17" x14ac:dyDescent="0.3">
      <c r="A20" s="6" t="s">
        <v>29</v>
      </c>
      <c r="B20" t="s">
        <v>1029</v>
      </c>
      <c r="C20" t="s">
        <v>2008</v>
      </c>
      <c r="D20">
        <v>18</v>
      </c>
      <c r="E20" t="s">
        <v>2010</v>
      </c>
      <c r="F20" t="s">
        <v>2014</v>
      </c>
      <c r="G20" t="s">
        <v>2022</v>
      </c>
      <c r="H20" t="s">
        <v>2024</v>
      </c>
      <c r="I20">
        <v>9</v>
      </c>
      <c r="J20" t="s">
        <v>2033</v>
      </c>
      <c r="K20" t="s">
        <v>2036</v>
      </c>
      <c r="Q20" s="1"/>
    </row>
    <row r="21" spans="1:17" x14ac:dyDescent="0.3">
      <c r="A21" s="6" t="s">
        <v>30</v>
      </c>
      <c r="B21" t="s">
        <v>1030</v>
      </c>
      <c r="C21" t="s">
        <v>2007</v>
      </c>
      <c r="D21">
        <v>18</v>
      </c>
      <c r="E21" t="s">
        <v>2012</v>
      </c>
      <c r="F21" t="s">
        <v>2016</v>
      </c>
      <c r="G21" t="s">
        <v>2022</v>
      </c>
      <c r="H21" t="s">
        <v>2024</v>
      </c>
      <c r="I21">
        <v>4</v>
      </c>
      <c r="J21" t="s">
        <v>2030</v>
      </c>
      <c r="K21" t="s">
        <v>2036</v>
      </c>
    </row>
    <row r="22" spans="1:17" x14ac:dyDescent="0.3">
      <c r="A22" s="6" t="s">
        <v>31</v>
      </c>
      <c r="B22" t="s">
        <v>1031</v>
      </c>
      <c r="C22" t="s">
        <v>2008</v>
      </c>
      <c r="D22">
        <v>15</v>
      </c>
      <c r="E22" t="s">
        <v>2009</v>
      </c>
      <c r="F22" t="s">
        <v>2014</v>
      </c>
      <c r="G22" t="s">
        <v>2020</v>
      </c>
      <c r="H22" t="s">
        <v>2023</v>
      </c>
      <c r="I22">
        <v>52</v>
      </c>
      <c r="J22" t="s">
        <v>2025</v>
      </c>
      <c r="K22" t="s">
        <v>2035</v>
      </c>
    </row>
    <row r="23" spans="1:17" x14ac:dyDescent="0.3">
      <c r="A23" s="6" t="s">
        <v>32</v>
      </c>
      <c r="B23" t="s">
        <v>1032</v>
      </c>
      <c r="C23" t="s">
        <v>2008</v>
      </c>
      <c r="D23">
        <v>15</v>
      </c>
      <c r="E23" t="s">
        <v>2009</v>
      </c>
      <c r="F23" t="s">
        <v>2015</v>
      </c>
      <c r="G23" t="s">
        <v>2021</v>
      </c>
      <c r="H23" t="s">
        <v>2024</v>
      </c>
      <c r="I23">
        <v>74</v>
      </c>
      <c r="J23" t="s">
        <v>2030</v>
      </c>
      <c r="K23" t="s">
        <v>2035</v>
      </c>
    </row>
    <row r="24" spans="1:17" x14ac:dyDescent="0.3">
      <c r="A24" s="6" t="s">
        <v>33</v>
      </c>
      <c r="B24" t="s">
        <v>1033</v>
      </c>
      <c r="C24" t="s">
        <v>2007</v>
      </c>
      <c r="D24">
        <v>17</v>
      </c>
      <c r="E24" t="s">
        <v>2013</v>
      </c>
      <c r="F24" t="s">
        <v>2015</v>
      </c>
      <c r="G24" t="s">
        <v>2022</v>
      </c>
      <c r="H24" t="s">
        <v>2023</v>
      </c>
      <c r="I24">
        <v>36</v>
      </c>
      <c r="J24" t="s">
        <v>2025</v>
      </c>
      <c r="K24" t="s">
        <v>2036</v>
      </c>
    </row>
    <row r="25" spans="1:17" x14ac:dyDescent="0.3">
      <c r="A25" s="6" t="s">
        <v>34</v>
      </c>
      <c r="B25" t="s">
        <v>1034</v>
      </c>
      <c r="C25" t="s">
        <v>2007</v>
      </c>
      <c r="D25">
        <v>17</v>
      </c>
      <c r="E25" t="s">
        <v>2011</v>
      </c>
      <c r="F25" t="s">
        <v>2017</v>
      </c>
      <c r="G25" t="s">
        <v>2022</v>
      </c>
      <c r="H25" t="s">
        <v>2024</v>
      </c>
      <c r="I25">
        <v>80</v>
      </c>
      <c r="J25" t="s">
        <v>2034</v>
      </c>
      <c r="K25" t="s">
        <v>2035</v>
      </c>
    </row>
    <row r="26" spans="1:17" x14ac:dyDescent="0.3">
      <c r="A26" s="6" t="s">
        <v>35</v>
      </c>
      <c r="B26" t="s">
        <v>1035</v>
      </c>
      <c r="C26" t="s">
        <v>2008</v>
      </c>
      <c r="D26">
        <v>14</v>
      </c>
      <c r="E26" t="s">
        <v>2012</v>
      </c>
      <c r="F26" t="s">
        <v>2017</v>
      </c>
      <c r="G26" t="s">
        <v>2018</v>
      </c>
      <c r="H26" t="s">
        <v>2024</v>
      </c>
      <c r="I26">
        <v>93</v>
      </c>
      <c r="J26" t="s">
        <v>2025</v>
      </c>
      <c r="K26" t="s">
        <v>2035</v>
      </c>
    </row>
    <row r="27" spans="1:17" x14ac:dyDescent="0.3">
      <c r="A27" s="6" t="s">
        <v>36</v>
      </c>
      <c r="B27" t="s">
        <v>1036</v>
      </c>
      <c r="C27" t="s">
        <v>2008</v>
      </c>
      <c r="D27">
        <v>16</v>
      </c>
      <c r="E27" t="s">
        <v>2013</v>
      </c>
      <c r="F27" t="s">
        <v>2015</v>
      </c>
      <c r="G27" t="s">
        <v>2021</v>
      </c>
      <c r="H27" t="s">
        <v>2023</v>
      </c>
      <c r="I27">
        <v>70</v>
      </c>
      <c r="J27" t="s">
        <v>2028</v>
      </c>
      <c r="K27" t="s">
        <v>2035</v>
      </c>
      <c r="Q27" s="1"/>
    </row>
    <row r="28" spans="1:17" x14ac:dyDescent="0.3">
      <c r="A28" s="6" t="s">
        <v>37</v>
      </c>
      <c r="B28" t="s">
        <v>1037</v>
      </c>
      <c r="C28" t="s">
        <v>2007</v>
      </c>
      <c r="D28">
        <v>17</v>
      </c>
      <c r="E28" t="s">
        <v>2009</v>
      </c>
      <c r="F28" t="s">
        <v>2015</v>
      </c>
      <c r="G28" t="s">
        <v>2018</v>
      </c>
      <c r="H28" t="s">
        <v>2023</v>
      </c>
      <c r="I28">
        <v>7</v>
      </c>
      <c r="J28" t="s">
        <v>2031</v>
      </c>
      <c r="K28" t="s">
        <v>2036</v>
      </c>
    </row>
    <row r="29" spans="1:17" x14ac:dyDescent="0.3">
      <c r="A29" s="6" t="s">
        <v>38</v>
      </c>
      <c r="B29" t="s">
        <v>1038</v>
      </c>
      <c r="C29" t="s">
        <v>2008</v>
      </c>
      <c r="D29">
        <v>16</v>
      </c>
      <c r="E29" t="s">
        <v>2009</v>
      </c>
      <c r="F29" t="s">
        <v>2017</v>
      </c>
      <c r="G29" t="s">
        <v>2020</v>
      </c>
      <c r="H29" t="s">
        <v>2024</v>
      </c>
      <c r="I29">
        <v>57</v>
      </c>
      <c r="J29" t="s">
        <v>2033</v>
      </c>
      <c r="K29" t="s">
        <v>2035</v>
      </c>
    </row>
    <row r="30" spans="1:17" x14ac:dyDescent="0.3">
      <c r="A30" s="6" t="s">
        <v>39</v>
      </c>
      <c r="B30" t="s">
        <v>1039</v>
      </c>
      <c r="C30" t="s">
        <v>2008</v>
      </c>
      <c r="D30">
        <v>15</v>
      </c>
      <c r="E30" t="s">
        <v>2013</v>
      </c>
      <c r="F30" t="s">
        <v>2017</v>
      </c>
      <c r="G30" t="s">
        <v>2020</v>
      </c>
      <c r="H30" t="s">
        <v>2024</v>
      </c>
      <c r="I30">
        <v>72</v>
      </c>
      <c r="J30" t="s">
        <v>2034</v>
      </c>
      <c r="K30" t="s">
        <v>2035</v>
      </c>
    </row>
    <row r="31" spans="1:17" x14ac:dyDescent="0.3">
      <c r="A31" s="6" t="s">
        <v>40</v>
      </c>
      <c r="B31" t="s">
        <v>1040</v>
      </c>
      <c r="C31" t="s">
        <v>2007</v>
      </c>
      <c r="D31">
        <v>16</v>
      </c>
      <c r="E31" t="s">
        <v>2011</v>
      </c>
      <c r="F31" t="s">
        <v>2017</v>
      </c>
      <c r="G31" t="s">
        <v>2020</v>
      </c>
      <c r="H31" t="s">
        <v>2024</v>
      </c>
      <c r="I31">
        <v>81</v>
      </c>
      <c r="J31" t="s">
        <v>2027</v>
      </c>
      <c r="K31" t="s">
        <v>2035</v>
      </c>
    </row>
    <row r="32" spans="1:17" x14ac:dyDescent="0.3">
      <c r="A32" s="6" t="s">
        <v>41</v>
      </c>
      <c r="B32" t="s">
        <v>1041</v>
      </c>
      <c r="C32" t="s">
        <v>2008</v>
      </c>
      <c r="D32">
        <v>16</v>
      </c>
      <c r="E32" t="s">
        <v>2011</v>
      </c>
      <c r="F32" t="s">
        <v>2017</v>
      </c>
      <c r="G32" t="s">
        <v>2020</v>
      </c>
      <c r="H32" t="s">
        <v>2023</v>
      </c>
      <c r="I32">
        <v>34</v>
      </c>
      <c r="J32" t="s">
        <v>2032</v>
      </c>
      <c r="K32" t="s">
        <v>2036</v>
      </c>
    </row>
    <row r="33" spans="1:11" x14ac:dyDescent="0.3">
      <c r="A33" s="6" t="s">
        <v>42</v>
      </c>
      <c r="B33" t="s">
        <v>1042</v>
      </c>
      <c r="C33" t="s">
        <v>2008</v>
      </c>
      <c r="D33">
        <v>18</v>
      </c>
      <c r="E33" t="s">
        <v>2011</v>
      </c>
      <c r="F33" t="s">
        <v>2017</v>
      </c>
      <c r="G33" t="s">
        <v>2019</v>
      </c>
      <c r="H33" t="s">
        <v>2024</v>
      </c>
      <c r="I33">
        <v>42</v>
      </c>
      <c r="J33" t="s">
        <v>2034</v>
      </c>
      <c r="K33" t="s">
        <v>2036</v>
      </c>
    </row>
    <row r="34" spans="1:11" x14ac:dyDescent="0.3">
      <c r="A34" s="6" t="s">
        <v>43</v>
      </c>
      <c r="B34" t="s">
        <v>1043</v>
      </c>
      <c r="C34" t="s">
        <v>2008</v>
      </c>
      <c r="D34">
        <v>16</v>
      </c>
      <c r="E34" t="s">
        <v>2011</v>
      </c>
      <c r="F34" t="s">
        <v>2015</v>
      </c>
      <c r="G34" t="s">
        <v>2019</v>
      </c>
      <c r="H34" t="s">
        <v>2024</v>
      </c>
      <c r="I34">
        <v>77</v>
      </c>
      <c r="J34" t="s">
        <v>2031</v>
      </c>
      <c r="K34" t="s">
        <v>2035</v>
      </c>
    </row>
    <row r="35" spans="1:11" x14ac:dyDescent="0.3">
      <c r="A35" s="6" t="s">
        <v>44</v>
      </c>
      <c r="B35" t="s">
        <v>1044</v>
      </c>
      <c r="C35" t="s">
        <v>2008</v>
      </c>
      <c r="D35">
        <v>14</v>
      </c>
      <c r="E35" t="s">
        <v>2012</v>
      </c>
      <c r="F35" t="s">
        <v>2016</v>
      </c>
      <c r="G35" t="s">
        <v>2020</v>
      </c>
      <c r="H35" t="s">
        <v>2023</v>
      </c>
      <c r="I35">
        <v>21</v>
      </c>
      <c r="J35" t="s">
        <v>2033</v>
      </c>
      <c r="K35" t="s">
        <v>2036</v>
      </c>
    </row>
    <row r="36" spans="1:11" x14ac:dyDescent="0.3">
      <c r="A36" s="6" t="s">
        <v>45</v>
      </c>
      <c r="B36" t="s">
        <v>1045</v>
      </c>
      <c r="C36" t="s">
        <v>2008</v>
      </c>
      <c r="D36">
        <v>18</v>
      </c>
      <c r="E36" t="s">
        <v>2013</v>
      </c>
      <c r="F36" t="s">
        <v>2016</v>
      </c>
      <c r="G36" t="s">
        <v>2021</v>
      </c>
      <c r="H36" t="s">
        <v>2024</v>
      </c>
      <c r="I36">
        <v>85</v>
      </c>
      <c r="J36" t="s">
        <v>2028</v>
      </c>
      <c r="K36" t="s">
        <v>2035</v>
      </c>
    </row>
    <row r="37" spans="1:11" x14ac:dyDescent="0.3">
      <c r="A37" s="6" t="s">
        <v>46</v>
      </c>
      <c r="B37" t="s">
        <v>1046</v>
      </c>
      <c r="C37" t="s">
        <v>2008</v>
      </c>
      <c r="D37">
        <v>15</v>
      </c>
      <c r="E37" t="s">
        <v>2012</v>
      </c>
      <c r="F37" t="s">
        <v>2015</v>
      </c>
      <c r="G37" t="s">
        <v>2021</v>
      </c>
      <c r="H37" t="s">
        <v>2023</v>
      </c>
      <c r="I37">
        <v>22</v>
      </c>
      <c r="J37" t="s">
        <v>2027</v>
      </c>
      <c r="K37" t="s">
        <v>2036</v>
      </c>
    </row>
    <row r="38" spans="1:11" x14ac:dyDescent="0.3">
      <c r="A38" s="6" t="s">
        <v>47</v>
      </c>
      <c r="B38" t="s">
        <v>1047</v>
      </c>
      <c r="C38" t="s">
        <v>2007</v>
      </c>
      <c r="D38">
        <v>15</v>
      </c>
      <c r="E38" t="s">
        <v>2010</v>
      </c>
      <c r="F38" t="s">
        <v>2017</v>
      </c>
      <c r="G38" t="s">
        <v>2018</v>
      </c>
      <c r="H38" t="s">
        <v>2023</v>
      </c>
      <c r="I38">
        <v>6</v>
      </c>
      <c r="J38" t="s">
        <v>2034</v>
      </c>
      <c r="K38" t="s">
        <v>2036</v>
      </c>
    </row>
    <row r="39" spans="1:11" x14ac:dyDescent="0.3">
      <c r="A39" s="6" t="s">
        <v>48</v>
      </c>
      <c r="B39" t="s">
        <v>1048</v>
      </c>
      <c r="C39" t="s">
        <v>2008</v>
      </c>
      <c r="D39">
        <v>16</v>
      </c>
      <c r="E39" t="s">
        <v>2010</v>
      </c>
      <c r="F39" t="s">
        <v>2015</v>
      </c>
      <c r="G39" t="s">
        <v>2020</v>
      </c>
      <c r="H39" t="s">
        <v>2024</v>
      </c>
      <c r="I39">
        <v>57</v>
      </c>
      <c r="J39" t="s">
        <v>2031</v>
      </c>
      <c r="K39" t="s">
        <v>2035</v>
      </c>
    </row>
    <row r="40" spans="1:11" x14ac:dyDescent="0.3">
      <c r="A40" s="6" t="s">
        <v>49</v>
      </c>
      <c r="B40" t="s">
        <v>1049</v>
      </c>
      <c r="C40" t="s">
        <v>2008</v>
      </c>
      <c r="D40">
        <v>18</v>
      </c>
      <c r="E40" t="s">
        <v>2009</v>
      </c>
      <c r="F40" t="s">
        <v>2017</v>
      </c>
      <c r="G40" t="s">
        <v>2020</v>
      </c>
      <c r="H40" t="s">
        <v>2024</v>
      </c>
      <c r="I40">
        <v>77</v>
      </c>
      <c r="J40" t="s">
        <v>2029</v>
      </c>
      <c r="K40" t="s">
        <v>2035</v>
      </c>
    </row>
    <row r="41" spans="1:11" x14ac:dyDescent="0.3">
      <c r="A41" s="6" t="s">
        <v>50</v>
      </c>
      <c r="B41" t="s">
        <v>1050</v>
      </c>
      <c r="C41" t="s">
        <v>2008</v>
      </c>
      <c r="D41">
        <v>17</v>
      </c>
      <c r="E41" t="s">
        <v>2009</v>
      </c>
      <c r="F41" t="s">
        <v>2016</v>
      </c>
      <c r="G41" t="s">
        <v>2022</v>
      </c>
      <c r="H41" t="s">
        <v>2024</v>
      </c>
      <c r="I41">
        <v>41</v>
      </c>
      <c r="J41" t="s">
        <v>2031</v>
      </c>
      <c r="K41" t="s">
        <v>2036</v>
      </c>
    </row>
    <row r="42" spans="1:11" x14ac:dyDescent="0.3">
      <c r="A42" s="6" t="s">
        <v>51</v>
      </c>
      <c r="B42" t="s">
        <v>1051</v>
      </c>
      <c r="C42" t="s">
        <v>2008</v>
      </c>
      <c r="D42">
        <v>18</v>
      </c>
      <c r="E42" t="s">
        <v>2012</v>
      </c>
      <c r="F42" t="s">
        <v>2015</v>
      </c>
      <c r="G42" t="s">
        <v>2022</v>
      </c>
      <c r="H42" t="s">
        <v>2024</v>
      </c>
      <c r="I42">
        <v>8</v>
      </c>
      <c r="J42" t="s">
        <v>2034</v>
      </c>
      <c r="K42" t="s">
        <v>2036</v>
      </c>
    </row>
    <row r="43" spans="1:11" x14ac:dyDescent="0.3">
      <c r="A43" s="6" t="s">
        <v>52</v>
      </c>
      <c r="B43" t="s">
        <v>1052</v>
      </c>
      <c r="C43" t="s">
        <v>2008</v>
      </c>
      <c r="D43">
        <v>16</v>
      </c>
      <c r="E43" t="s">
        <v>2013</v>
      </c>
      <c r="F43" t="s">
        <v>2017</v>
      </c>
      <c r="G43" t="s">
        <v>2020</v>
      </c>
      <c r="H43" t="s">
        <v>2024</v>
      </c>
      <c r="I43">
        <v>22</v>
      </c>
      <c r="J43" t="s">
        <v>2030</v>
      </c>
      <c r="K43" t="s">
        <v>2036</v>
      </c>
    </row>
    <row r="44" spans="1:11" x14ac:dyDescent="0.3">
      <c r="A44" s="6" t="s">
        <v>53</v>
      </c>
      <c r="B44" t="s">
        <v>1053</v>
      </c>
      <c r="C44" t="s">
        <v>2008</v>
      </c>
      <c r="D44">
        <v>17</v>
      </c>
      <c r="E44" t="s">
        <v>2010</v>
      </c>
      <c r="F44" t="s">
        <v>2015</v>
      </c>
      <c r="G44" t="s">
        <v>2020</v>
      </c>
      <c r="H44" t="s">
        <v>2023</v>
      </c>
      <c r="I44">
        <v>37</v>
      </c>
      <c r="J44" t="s">
        <v>2031</v>
      </c>
      <c r="K44" t="s">
        <v>2036</v>
      </c>
    </row>
    <row r="45" spans="1:11" x14ac:dyDescent="0.3">
      <c r="A45" s="6" t="s">
        <v>54</v>
      </c>
      <c r="B45" t="s">
        <v>1054</v>
      </c>
      <c r="C45" t="s">
        <v>2007</v>
      </c>
      <c r="D45">
        <v>15</v>
      </c>
      <c r="E45" t="s">
        <v>2012</v>
      </c>
      <c r="F45" t="s">
        <v>2015</v>
      </c>
      <c r="G45" t="s">
        <v>2021</v>
      </c>
      <c r="H45" t="s">
        <v>2023</v>
      </c>
      <c r="I45">
        <v>55</v>
      </c>
      <c r="J45" t="s">
        <v>2027</v>
      </c>
      <c r="K45" t="s">
        <v>2035</v>
      </c>
    </row>
    <row r="46" spans="1:11" x14ac:dyDescent="0.3">
      <c r="A46" s="6" t="s">
        <v>55</v>
      </c>
      <c r="B46" t="s">
        <v>1055</v>
      </c>
      <c r="C46" t="s">
        <v>2008</v>
      </c>
      <c r="D46">
        <v>17</v>
      </c>
      <c r="E46" t="s">
        <v>2009</v>
      </c>
      <c r="F46" t="s">
        <v>2015</v>
      </c>
      <c r="G46" t="s">
        <v>2022</v>
      </c>
      <c r="H46" t="s">
        <v>2024</v>
      </c>
      <c r="I46">
        <v>73</v>
      </c>
      <c r="J46" t="s">
        <v>2033</v>
      </c>
      <c r="K46" t="s">
        <v>2035</v>
      </c>
    </row>
    <row r="47" spans="1:11" x14ac:dyDescent="0.3">
      <c r="A47" s="6" t="s">
        <v>56</v>
      </c>
      <c r="B47" t="s">
        <v>1056</v>
      </c>
      <c r="C47" t="s">
        <v>2007</v>
      </c>
      <c r="D47">
        <v>18</v>
      </c>
      <c r="E47" t="s">
        <v>2011</v>
      </c>
      <c r="F47" t="s">
        <v>2014</v>
      </c>
      <c r="G47" t="s">
        <v>2022</v>
      </c>
      <c r="H47" t="s">
        <v>2023</v>
      </c>
      <c r="I47">
        <v>58</v>
      </c>
      <c r="J47" t="s">
        <v>2033</v>
      </c>
      <c r="K47" t="s">
        <v>2035</v>
      </c>
    </row>
    <row r="48" spans="1:11" x14ac:dyDescent="0.3">
      <c r="A48" s="6" t="s">
        <v>57</v>
      </c>
      <c r="B48" t="s">
        <v>1057</v>
      </c>
      <c r="C48" t="s">
        <v>2008</v>
      </c>
      <c r="D48">
        <v>18</v>
      </c>
      <c r="E48" t="s">
        <v>2011</v>
      </c>
      <c r="F48" t="s">
        <v>2014</v>
      </c>
      <c r="G48" t="s">
        <v>2019</v>
      </c>
      <c r="H48" t="s">
        <v>2023</v>
      </c>
      <c r="I48">
        <v>49</v>
      </c>
      <c r="J48" t="s">
        <v>2027</v>
      </c>
      <c r="K48" t="s">
        <v>2036</v>
      </c>
    </row>
    <row r="49" spans="1:11" x14ac:dyDescent="0.3">
      <c r="A49" s="6" t="s">
        <v>58</v>
      </c>
      <c r="B49" t="s">
        <v>1058</v>
      </c>
      <c r="C49" t="s">
        <v>2008</v>
      </c>
      <c r="D49">
        <v>17</v>
      </c>
      <c r="E49" t="s">
        <v>2010</v>
      </c>
      <c r="F49" t="s">
        <v>2017</v>
      </c>
      <c r="G49" t="s">
        <v>2018</v>
      </c>
      <c r="H49" t="s">
        <v>2024</v>
      </c>
      <c r="I49">
        <v>78</v>
      </c>
      <c r="J49" t="s">
        <v>2030</v>
      </c>
      <c r="K49" t="s">
        <v>2035</v>
      </c>
    </row>
    <row r="50" spans="1:11" x14ac:dyDescent="0.3">
      <c r="A50" s="6" t="s">
        <v>59</v>
      </c>
      <c r="B50" t="s">
        <v>1059</v>
      </c>
      <c r="C50" t="s">
        <v>2008</v>
      </c>
      <c r="D50">
        <v>16</v>
      </c>
      <c r="E50" t="s">
        <v>2013</v>
      </c>
      <c r="F50" t="s">
        <v>2017</v>
      </c>
      <c r="G50" t="s">
        <v>2020</v>
      </c>
      <c r="H50" t="s">
        <v>2023</v>
      </c>
      <c r="I50">
        <v>67</v>
      </c>
      <c r="J50" t="s">
        <v>2026</v>
      </c>
      <c r="K50" t="s">
        <v>2035</v>
      </c>
    </row>
    <row r="51" spans="1:11" x14ac:dyDescent="0.3">
      <c r="A51" s="6" t="s">
        <v>60</v>
      </c>
      <c r="B51" t="s">
        <v>1060</v>
      </c>
      <c r="C51" t="s">
        <v>2007</v>
      </c>
      <c r="D51">
        <v>15</v>
      </c>
      <c r="E51" t="s">
        <v>2012</v>
      </c>
      <c r="F51" t="s">
        <v>2016</v>
      </c>
      <c r="G51" t="s">
        <v>2021</v>
      </c>
      <c r="H51" t="s">
        <v>2023</v>
      </c>
      <c r="I51">
        <v>35</v>
      </c>
      <c r="J51" t="s">
        <v>2030</v>
      </c>
      <c r="K51" t="s">
        <v>2036</v>
      </c>
    </row>
    <row r="52" spans="1:11" x14ac:dyDescent="0.3">
      <c r="A52" s="6" t="s">
        <v>61</v>
      </c>
      <c r="B52" t="s">
        <v>1061</v>
      </c>
      <c r="C52" t="s">
        <v>2008</v>
      </c>
      <c r="D52">
        <v>15</v>
      </c>
      <c r="E52" t="s">
        <v>2012</v>
      </c>
      <c r="F52" t="s">
        <v>2017</v>
      </c>
      <c r="G52" t="s">
        <v>2020</v>
      </c>
      <c r="H52" t="s">
        <v>2023</v>
      </c>
      <c r="I52">
        <v>44</v>
      </c>
      <c r="J52" t="s">
        <v>2027</v>
      </c>
      <c r="K52" t="s">
        <v>2036</v>
      </c>
    </row>
    <row r="53" spans="1:11" x14ac:dyDescent="0.3">
      <c r="A53" s="6" t="s">
        <v>62</v>
      </c>
      <c r="B53" t="s">
        <v>1062</v>
      </c>
      <c r="C53" t="s">
        <v>2007</v>
      </c>
      <c r="D53">
        <v>18</v>
      </c>
      <c r="E53" t="s">
        <v>2011</v>
      </c>
      <c r="F53" t="s">
        <v>2016</v>
      </c>
      <c r="G53" t="s">
        <v>2021</v>
      </c>
      <c r="H53" t="s">
        <v>2024</v>
      </c>
      <c r="I53">
        <v>27</v>
      </c>
      <c r="J53" t="s">
        <v>2034</v>
      </c>
      <c r="K53" t="s">
        <v>2036</v>
      </c>
    </row>
    <row r="54" spans="1:11" x14ac:dyDescent="0.3">
      <c r="A54" s="6" t="s">
        <v>63</v>
      </c>
      <c r="B54" t="s">
        <v>1063</v>
      </c>
      <c r="C54" t="s">
        <v>2008</v>
      </c>
      <c r="D54">
        <v>15</v>
      </c>
      <c r="E54" t="s">
        <v>2009</v>
      </c>
      <c r="F54" t="s">
        <v>2017</v>
      </c>
      <c r="G54" t="s">
        <v>2018</v>
      </c>
      <c r="H54" t="s">
        <v>2024</v>
      </c>
      <c r="I54">
        <v>69</v>
      </c>
      <c r="J54" t="s">
        <v>2034</v>
      </c>
      <c r="K54" t="s">
        <v>2035</v>
      </c>
    </row>
    <row r="55" spans="1:11" x14ac:dyDescent="0.3">
      <c r="A55" s="6" t="s">
        <v>64</v>
      </c>
      <c r="B55" t="s">
        <v>1064</v>
      </c>
      <c r="C55" t="s">
        <v>2008</v>
      </c>
      <c r="D55">
        <v>15</v>
      </c>
      <c r="E55" t="s">
        <v>2009</v>
      </c>
      <c r="F55" t="s">
        <v>2015</v>
      </c>
      <c r="G55" t="s">
        <v>2022</v>
      </c>
      <c r="H55" t="s">
        <v>2024</v>
      </c>
      <c r="I55">
        <v>99</v>
      </c>
      <c r="J55" t="s">
        <v>2030</v>
      </c>
      <c r="K55" t="s">
        <v>2035</v>
      </c>
    </row>
    <row r="56" spans="1:11" x14ac:dyDescent="0.3">
      <c r="A56" s="6" t="s">
        <v>65</v>
      </c>
      <c r="B56" t="s">
        <v>1065</v>
      </c>
      <c r="C56" t="s">
        <v>2007</v>
      </c>
      <c r="D56">
        <v>17</v>
      </c>
      <c r="E56" t="s">
        <v>2009</v>
      </c>
      <c r="F56" t="s">
        <v>2016</v>
      </c>
      <c r="G56" t="s">
        <v>2018</v>
      </c>
      <c r="H56" t="s">
        <v>2024</v>
      </c>
      <c r="I56">
        <v>35</v>
      </c>
      <c r="J56" t="s">
        <v>2027</v>
      </c>
      <c r="K56" t="s">
        <v>2036</v>
      </c>
    </row>
    <row r="57" spans="1:11" x14ac:dyDescent="0.3">
      <c r="A57" s="6" t="s">
        <v>66</v>
      </c>
      <c r="B57" t="s">
        <v>1066</v>
      </c>
      <c r="C57" t="s">
        <v>2007</v>
      </c>
      <c r="D57">
        <v>17</v>
      </c>
      <c r="E57" t="s">
        <v>2011</v>
      </c>
      <c r="F57" t="s">
        <v>2015</v>
      </c>
      <c r="G57" t="s">
        <v>2022</v>
      </c>
      <c r="H57" t="s">
        <v>2024</v>
      </c>
      <c r="I57">
        <v>76</v>
      </c>
      <c r="J57" t="s">
        <v>2033</v>
      </c>
      <c r="K57" t="s">
        <v>2035</v>
      </c>
    </row>
    <row r="58" spans="1:11" x14ac:dyDescent="0.3">
      <c r="A58" s="6" t="s">
        <v>67</v>
      </c>
      <c r="B58" t="s">
        <v>1067</v>
      </c>
      <c r="C58" t="s">
        <v>2007</v>
      </c>
      <c r="D58">
        <v>18</v>
      </c>
      <c r="E58" t="s">
        <v>2010</v>
      </c>
      <c r="F58" t="s">
        <v>2016</v>
      </c>
      <c r="G58" t="s">
        <v>2020</v>
      </c>
      <c r="H58" t="s">
        <v>2024</v>
      </c>
      <c r="I58">
        <v>4</v>
      </c>
      <c r="J58" t="s">
        <v>2025</v>
      </c>
      <c r="K58" t="s">
        <v>2036</v>
      </c>
    </row>
    <row r="59" spans="1:11" x14ac:dyDescent="0.3">
      <c r="A59" s="6" t="s">
        <v>68</v>
      </c>
      <c r="B59" t="s">
        <v>1068</v>
      </c>
      <c r="C59" t="s">
        <v>2008</v>
      </c>
      <c r="D59">
        <v>15</v>
      </c>
      <c r="E59" t="s">
        <v>2011</v>
      </c>
      <c r="F59" t="s">
        <v>2016</v>
      </c>
      <c r="G59" t="s">
        <v>2019</v>
      </c>
      <c r="H59" t="s">
        <v>2023</v>
      </c>
      <c r="I59">
        <v>53</v>
      </c>
      <c r="J59" t="s">
        <v>2033</v>
      </c>
      <c r="K59" t="s">
        <v>2035</v>
      </c>
    </row>
    <row r="60" spans="1:11" x14ac:dyDescent="0.3">
      <c r="A60" s="6" t="s">
        <v>69</v>
      </c>
      <c r="B60" t="s">
        <v>1069</v>
      </c>
      <c r="C60" t="s">
        <v>2007</v>
      </c>
      <c r="D60">
        <v>18</v>
      </c>
      <c r="E60" t="s">
        <v>2012</v>
      </c>
      <c r="F60" t="s">
        <v>2014</v>
      </c>
      <c r="G60" t="s">
        <v>2022</v>
      </c>
      <c r="H60" t="s">
        <v>2024</v>
      </c>
      <c r="I60">
        <v>97</v>
      </c>
      <c r="J60" t="s">
        <v>2033</v>
      </c>
      <c r="K60" t="s">
        <v>2035</v>
      </c>
    </row>
    <row r="61" spans="1:11" x14ac:dyDescent="0.3">
      <c r="A61" s="6" t="s">
        <v>70</v>
      </c>
      <c r="B61" t="s">
        <v>1070</v>
      </c>
      <c r="C61" t="s">
        <v>2008</v>
      </c>
      <c r="D61">
        <v>18</v>
      </c>
      <c r="E61" t="s">
        <v>2010</v>
      </c>
      <c r="F61" t="s">
        <v>2017</v>
      </c>
      <c r="G61" t="s">
        <v>2020</v>
      </c>
      <c r="H61" t="s">
        <v>2023</v>
      </c>
      <c r="I61">
        <v>39</v>
      </c>
      <c r="J61" t="s">
        <v>2033</v>
      </c>
      <c r="K61" t="s">
        <v>2036</v>
      </c>
    </row>
    <row r="62" spans="1:11" x14ac:dyDescent="0.3">
      <c r="A62" s="6" t="s">
        <v>71</v>
      </c>
      <c r="B62" t="s">
        <v>1071</v>
      </c>
      <c r="C62" t="s">
        <v>2007</v>
      </c>
      <c r="D62">
        <v>18</v>
      </c>
      <c r="E62" t="s">
        <v>2013</v>
      </c>
      <c r="F62" t="s">
        <v>2016</v>
      </c>
      <c r="G62" t="s">
        <v>2018</v>
      </c>
      <c r="H62" t="s">
        <v>2023</v>
      </c>
      <c r="I62">
        <v>72</v>
      </c>
      <c r="J62" t="s">
        <v>2033</v>
      </c>
      <c r="K62" t="s">
        <v>2035</v>
      </c>
    </row>
    <row r="63" spans="1:11" x14ac:dyDescent="0.3">
      <c r="A63" s="6" t="s">
        <v>72</v>
      </c>
      <c r="B63" t="s">
        <v>1072</v>
      </c>
      <c r="C63" t="s">
        <v>2008</v>
      </c>
      <c r="D63">
        <v>18</v>
      </c>
      <c r="E63" t="s">
        <v>2010</v>
      </c>
      <c r="F63" t="s">
        <v>2016</v>
      </c>
      <c r="G63" t="s">
        <v>2020</v>
      </c>
      <c r="H63" t="s">
        <v>2023</v>
      </c>
      <c r="I63">
        <v>0</v>
      </c>
      <c r="J63" t="s">
        <v>2031</v>
      </c>
      <c r="K63" t="s">
        <v>2036</v>
      </c>
    </row>
    <row r="64" spans="1:11" x14ac:dyDescent="0.3">
      <c r="A64" s="6" t="s">
        <v>73</v>
      </c>
      <c r="B64" t="s">
        <v>1073</v>
      </c>
      <c r="C64" t="s">
        <v>2008</v>
      </c>
      <c r="D64">
        <v>16</v>
      </c>
      <c r="E64" t="s">
        <v>2011</v>
      </c>
      <c r="F64" t="s">
        <v>2014</v>
      </c>
      <c r="G64" t="s">
        <v>2019</v>
      </c>
      <c r="H64" t="s">
        <v>2023</v>
      </c>
      <c r="I64">
        <v>15</v>
      </c>
      <c r="J64" t="s">
        <v>2029</v>
      </c>
      <c r="K64" t="s">
        <v>2036</v>
      </c>
    </row>
    <row r="65" spans="1:11" x14ac:dyDescent="0.3">
      <c r="A65" s="6" t="s">
        <v>74</v>
      </c>
      <c r="B65" t="s">
        <v>1074</v>
      </c>
      <c r="C65" t="s">
        <v>2007</v>
      </c>
      <c r="D65">
        <v>18</v>
      </c>
      <c r="E65" t="s">
        <v>2013</v>
      </c>
      <c r="F65" t="s">
        <v>2015</v>
      </c>
      <c r="G65" t="s">
        <v>2020</v>
      </c>
      <c r="H65" t="s">
        <v>2023</v>
      </c>
      <c r="I65">
        <v>37</v>
      </c>
      <c r="J65" t="s">
        <v>2025</v>
      </c>
      <c r="K65" t="s">
        <v>2036</v>
      </c>
    </row>
    <row r="66" spans="1:11" x14ac:dyDescent="0.3">
      <c r="A66" s="6" t="s">
        <v>75</v>
      </c>
      <c r="B66" t="s">
        <v>1075</v>
      </c>
      <c r="C66" t="s">
        <v>2007</v>
      </c>
      <c r="D66">
        <v>16</v>
      </c>
      <c r="E66" t="s">
        <v>2013</v>
      </c>
      <c r="F66" t="s">
        <v>2016</v>
      </c>
      <c r="G66" t="s">
        <v>2022</v>
      </c>
      <c r="H66" t="s">
        <v>2023</v>
      </c>
      <c r="I66">
        <v>37</v>
      </c>
      <c r="J66" t="s">
        <v>2025</v>
      </c>
      <c r="K66" t="s">
        <v>2036</v>
      </c>
    </row>
    <row r="67" spans="1:11" x14ac:dyDescent="0.3">
      <c r="A67" s="6" t="s">
        <v>76</v>
      </c>
      <c r="B67" t="s">
        <v>1076</v>
      </c>
      <c r="C67" t="s">
        <v>2007</v>
      </c>
      <c r="D67">
        <v>18</v>
      </c>
      <c r="E67" t="s">
        <v>2013</v>
      </c>
      <c r="F67" t="s">
        <v>2017</v>
      </c>
      <c r="G67" t="s">
        <v>2020</v>
      </c>
      <c r="H67" t="s">
        <v>2023</v>
      </c>
      <c r="I67">
        <v>18</v>
      </c>
      <c r="J67" t="s">
        <v>2034</v>
      </c>
      <c r="K67" t="s">
        <v>2036</v>
      </c>
    </row>
    <row r="68" spans="1:11" x14ac:dyDescent="0.3">
      <c r="A68" s="6" t="s">
        <v>77</v>
      </c>
      <c r="B68" t="s">
        <v>1077</v>
      </c>
      <c r="C68" t="s">
        <v>2007</v>
      </c>
      <c r="D68">
        <v>16</v>
      </c>
      <c r="E68" t="s">
        <v>2009</v>
      </c>
      <c r="F68" t="s">
        <v>2017</v>
      </c>
      <c r="G68" t="s">
        <v>2022</v>
      </c>
      <c r="H68" t="s">
        <v>2023</v>
      </c>
      <c r="I68">
        <v>36</v>
      </c>
      <c r="J68" t="s">
        <v>2028</v>
      </c>
      <c r="K68" t="s">
        <v>2036</v>
      </c>
    </row>
    <row r="69" spans="1:11" x14ac:dyDescent="0.3">
      <c r="A69" s="6" t="s">
        <v>78</v>
      </c>
      <c r="B69" t="s">
        <v>1078</v>
      </c>
      <c r="C69" t="s">
        <v>2008</v>
      </c>
      <c r="D69">
        <v>17</v>
      </c>
      <c r="E69" t="s">
        <v>2009</v>
      </c>
      <c r="F69" t="s">
        <v>2017</v>
      </c>
      <c r="G69" t="s">
        <v>2019</v>
      </c>
      <c r="H69" t="s">
        <v>2023</v>
      </c>
      <c r="I69">
        <v>17</v>
      </c>
      <c r="J69" t="s">
        <v>2029</v>
      </c>
      <c r="K69" t="s">
        <v>2036</v>
      </c>
    </row>
    <row r="70" spans="1:11" x14ac:dyDescent="0.3">
      <c r="A70" s="6" t="s">
        <v>79</v>
      </c>
      <c r="B70" t="s">
        <v>1079</v>
      </c>
      <c r="C70" t="s">
        <v>2008</v>
      </c>
      <c r="D70">
        <v>16</v>
      </c>
      <c r="E70" t="s">
        <v>2013</v>
      </c>
      <c r="F70" t="s">
        <v>2014</v>
      </c>
      <c r="G70" t="s">
        <v>2022</v>
      </c>
      <c r="H70" t="s">
        <v>2023</v>
      </c>
      <c r="I70">
        <v>28</v>
      </c>
      <c r="J70" t="s">
        <v>2030</v>
      </c>
      <c r="K70" t="s">
        <v>2036</v>
      </c>
    </row>
    <row r="71" spans="1:11" x14ac:dyDescent="0.3">
      <c r="A71" s="6" t="s">
        <v>80</v>
      </c>
      <c r="B71" t="s">
        <v>1080</v>
      </c>
      <c r="C71" t="s">
        <v>2007</v>
      </c>
      <c r="D71">
        <v>17</v>
      </c>
      <c r="E71" t="s">
        <v>2010</v>
      </c>
      <c r="F71" t="s">
        <v>2014</v>
      </c>
      <c r="G71" t="s">
        <v>2019</v>
      </c>
      <c r="H71" t="s">
        <v>2024</v>
      </c>
      <c r="I71">
        <v>73</v>
      </c>
      <c r="J71" t="s">
        <v>2033</v>
      </c>
      <c r="K71" t="s">
        <v>2035</v>
      </c>
    </row>
    <row r="72" spans="1:11" x14ac:dyDescent="0.3">
      <c r="A72" s="6" t="s">
        <v>81</v>
      </c>
      <c r="B72" t="s">
        <v>1081</v>
      </c>
      <c r="C72" t="s">
        <v>2007</v>
      </c>
      <c r="D72">
        <v>17</v>
      </c>
      <c r="E72" t="s">
        <v>2011</v>
      </c>
      <c r="F72" t="s">
        <v>2015</v>
      </c>
      <c r="G72" t="s">
        <v>2022</v>
      </c>
      <c r="H72" t="s">
        <v>2024</v>
      </c>
      <c r="I72">
        <v>86</v>
      </c>
      <c r="J72" t="s">
        <v>2025</v>
      </c>
      <c r="K72" t="s">
        <v>2035</v>
      </c>
    </row>
    <row r="73" spans="1:11" x14ac:dyDescent="0.3">
      <c r="A73" s="6" t="s">
        <v>82</v>
      </c>
      <c r="B73" t="s">
        <v>1082</v>
      </c>
      <c r="C73" t="s">
        <v>2007</v>
      </c>
      <c r="D73">
        <v>15</v>
      </c>
      <c r="E73" t="s">
        <v>2009</v>
      </c>
      <c r="F73" t="s">
        <v>2014</v>
      </c>
      <c r="G73" t="s">
        <v>2018</v>
      </c>
      <c r="H73" t="s">
        <v>2024</v>
      </c>
      <c r="I73">
        <v>83</v>
      </c>
      <c r="J73" t="s">
        <v>2027</v>
      </c>
      <c r="K73" t="s">
        <v>2035</v>
      </c>
    </row>
    <row r="74" spans="1:11" x14ac:dyDescent="0.3">
      <c r="A74" s="6" t="s">
        <v>83</v>
      </c>
      <c r="B74" t="s">
        <v>1083</v>
      </c>
      <c r="C74" t="s">
        <v>2008</v>
      </c>
      <c r="D74">
        <v>15</v>
      </c>
      <c r="E74" t="s">
        <v>2009</v>
      </c>
      <c r="F74" t="s">
        <v>2015</v>
      </c>
      <c r="G74" t="s">
        <v>2021</v>
      </c>
      <c r="H74" t="s">
        <v>2024</v>
      </c>
      <c r="I74">
        <v>9</v>
      </c>
      <c r="J74" t="s">
        <v>2027</v>
      </c>
      <c r="K74" t="s">
        <v>2036</v>
      </c>
    </row>
    <row r="75" spans="1:11" x14ac:dyDescent="0.3">
      <c r="A75" s="6" t="s">
        <v>84</v>
      </c>
      <c r="B75" t="s">
        <v>1084</v>
      </c>
      <c r="C75" t="s">
        <v>2007</v>
      </c>
      <c r="D75">
        <v>18</v>
      </c>
      <c r="E75" t="s">
        <v>2011</v>
      </c>
      <c r="F75" t="s">
        <v>2017</v>
      </c>
      <c r="G75" t="s">
        <v>2020</v>
      </c>
      <c r="H75" t="s">
        <v>2023</v>
      </c>
      <c r="I75">
        <v>49</v>
      </c>
      <c r="J75" t="s">
        <v>2027</v>
      </c>
      <c r="K75" t="s">
        <v>2036</v>
      </c>
    </row>
    <row r="76" spans="1:11" x14ac:dyDescent="0.3">
      <c r="A76" s="6" t="s">
        <v>85</v>
      </c>
      <c r="B76" t="s">
        <v>1085</v>
      </c>
      <c r="C76" t="s">
        <v>2007</v>
      </c>
      <c r="D76">
        <v>18</v>
      </c>
      <c r="E76" t="s">
        <v>2012</v>
      </c>
      <c r="F76" t="s">
        <v>2016</v>
      </c>
      <c r="G76" t="s">
        <v>2019</v>
      </c>
      <c r="H76" t="s">
        <v>2023</v>
      </c>
      <c r="I76">
        <v>80</v>
      </c>
      <c r="J76" t="s">
        <v>2030</v>
      </c>
      <c r="K76" t="s">
        <v>2035</v>
      </c>
    </row>
    <row r="77" spans="1:11" x14ac:dyDescent="0.3">
      <c r="A77" s="6" t="s">
        <v>86</v>
      </c>
      <c r="B77" t="s">
        <v>1086</v>
      </c>
      <c r="C77" t="s">
        <v>2007</v>
      </c>
      <c r="D77">
        <v>16</v>
      </c>
      <c r="E77" t="s">
        <v>2013</v>
      </c>
      <c r="F77" t="s">
        <v>2015</v>
      </c>
      <c r="G77" t="s">
        <v>2019</v>
      </c>
      <c r="H77" t="s">
        <v>2023</v>
      </c>
      <c r="I77">
        <v>72</v>
      </c>
      <c r="J77" t="s">
        <v>2025</v>
      </c>
      <c r="K77" t="s">
        <v>2035</v>
      </c>
    </row>
    <row r="78" spans="1:11" x14ac:dyDescent="0.3">
      <c r="A78" s="6" t="s">
        <v>87</v>
      </c>
      <c r="B78" t="s">
        <v>1087</v>
      </c>
      <c r="C78" t="s">
        <v>2007</v>
      </c>
      <c r="D78">
        <v>14</v>
      </c>
      <c r="E78" t="s">
        <v>2011</v>
      </c>
      <c r="F78" t="s">
        <v>2016</v>
      </c>
      <c r="G78" t="s">
        <v>2019</v>
      </c>
      <c r="H78" t="s">
        <v>2024</v>
      </c>
      <c r="I78">
        <v>68</v>
      </c>
      <c r="J78" t="s">
        <v>2029</v>
      </c>
      <c r="K78" t="s">
        <v>2035</v>
      </c>
    </row>
    <row r="79" spans="1:11" x14ac:dyDescent="0.3">
      <c r="A79" s="6" t="s">
        <v>88</v>
      </c>
      <c r="B79" t="s">
        <v>1088</v>
      </c>
      <c r="C79" t="s">
        <v>2007</v>
      </c>
      <c r="D79">
        <v>15</v>
      </c>
      <c r="E79" t="s">
        <v>2010</v>
      </c>
      <c r="F79" t="s">
        <v>2014</v>
      </c>
      <c r="G79" t="s">
        <v>2020</v>
      </c>
      <c r="H79" t="s">
        <v>2024</v>
      </c>
      <c r="I79">
        <v>51</v>
      </c>
      <c r="J79" t="s">
        <v>2031</v>
      </c>
      <c r="K79" t="s">
        <v>2035</v>
      </c>
    </row>
    <row r="80" spans="1:11" x14ac:dyDescent="0.3">
      <c r="A80" s="6" t="s">
        <v>89</v>
      </c>
      <c r="B80" t="s">
        <v>1089</v>
      </c>
      <c r="C80" t="s">
        <v>2007</v>
      </c>
      <c r="D80">
        <v>14</v>
      </c>
      <c r="E80" t="s">
        <v>2009</v>
      </c>
      <c r="F80" t="s">
        <v>2015</v>
      </c>
      <c r="G80" t="s">
        <v>2022</v>
      </c>
      <c r="H80" t="s">
        <v>2023</v>
      </c>
      <c r="I80">
        <v>66</v>
      </c>
      <c r="J80" t="s">
        <v>2034</v>
      </c>
      <c r="K80" t="s">
        <v>2035</v>
      </c>
    </row>
    <row r="81" spans="1:11" x14ac:dyDescent="0.3">
      <c r="A81" s="6" t="s">
        <v>90</v>
      </c>
      <c r="B81" t="s">
        <v>1090</v>
      </c>
      <c r="C81" t="s">
        <v>2007</v>
      </c>
      <c r="D81">
        <v>15</v>
      </c>
      <c r="E81" t="s">
        <v>2013</v>
      </c>
      <c r="F81" t="s">
        <v>2015</v>
      </c>
      <c r="G81" t="s">
        <v>2021</v>
      </c>
      <c r="H81" t="s">
        <v>2023</v>
      </c>
      <c r="I81">
        <v>96</v>
      </c>
      <c r="J81" t="s">
        <v>2029</v>
      </c>
      <c r="K81" t="s">
        <v>2035</v>
      </c>
    </row>
    <row r="82" spans="1:11" x14ac:dyDescent="0.3">
      <c r="A82" s="6" t="s">
        <v>91</v>
      </c>
      <c r="B82" t="s">
        <v>1091</v>
      </c>
      <c r="C82" t="s">
        <v>2007</v>
      </c>
      <c r="D82">
        <v>17</v>
      </c>
      <c r="E82" t="s">
        <v>2010</v>
      </c>
      <c r="F82" t="s">
        <v>2015</v>
      </c>
      <c r="G82" t="s">
        <v>2022</v>
      </c>
      <c r="H82" t="s">
        <v>2024</v>
      </c>
      <c r="I82">
        <v>46</v>
      </c>
      <c r="J82" t="s">
        <v>2029</v>
      </c>
      <c r="K82" t="s">
        <v>2036</v>
      </c>
    </row>
    <row r="83" spans="1:11" x14ac:dyDescent="0.3">
      <c r="A83" s="6" t="s">
        <v>92</v>
      </c>
      <c r="B83" t="s">
        <v>1092</v>
      </c>
      <c r="C83" t="s">
        <v>2007</v>
      </c>
      <c r="D83">
        <v>16</v>
      </c>
      <c r="E83" t="s">
        <v>2009</v>
      </c>
      <c r="F83" t="s">
        <v>2016</v>
      </c>
      <c r="G83" t="s">
        <v>2021</v>
      </c>
      <c r="H83" t="s">
        <v>2023</v>
      </c>
      <c r="I83">
        <v>95</v>
      </c>
      <c r="J83" t="s">
        <v>2029</v>
      </c>
      <c r="K83" t="s">
        <v>2035</v>
      </c>
    </row>
    <row r="84" spans="1:11" x14ac:dyDescent="0.3">
      <c r="A84" s="6" t="s">
        <v>93</v>
      </c>
      <c r="B84" t="s">
        <v>1093</v>
      </c>
      <c r="C84" t="s">
        <v>2008</v>
      </c>
      <c r="D84">
        <v>15</v>
      </c>
      <c r="E84" t="s">
        <v>2013</v>
      </c>
      <c r="F84" t="s">
        <v>2014</v>
      </c>
      <c r="G84" t="s">
        <v>2018</v>
      </c>
      <c r="H84" t="s">
        <v>2023</v>
      </c>
      <c r="I84">
        <v>4</v>
      </c>
      <c r="J84" t="s">
        <v>2027</v>
      </c>
      <c r="K84" t="s">
        <v>2036</v>
      </c>
    </row>
    <row r="85" spans="1:11" x14ac:dyDescent="0.3">
      <c r="A85" s="6" t="s">
        <v>94</v>
      </c>
      <c r="B85" t="s">
        <v>1094</v>
      </c>
      <c r="C85" t="s">
        <v>2007</v>
      </c>
      <c r="D85">
        <v>18</v>
      </c>
      <c r="E85" t="s">
        <v>2009</v>
      </c>
      <c r="F85" t="s">
        <v>2014</v>
      </c>
      <c r="G85" t="s">
        <v>2019</v>
      </c>
      <c r="H85" t="s">
        <v>2024</v>
      </c>
      <c r="I85">
        <v>10</v>
      </c>
      <c r="J85" t="s">
        <v>2030</v>
      </c>
      <c r="K85" t="s">
        <v>2036</v>
      </c>
    </row>
    <row r="86" spans="1:11" x14ac:dyDescent="0.3">
      <c r="A86" s="6" t="s">
        <v>95</v>
      </c>
      <c r="B86" t="s">
        <v>1095</v>
      </c>
      <c r="C86" t="s">
        <v>2008</v>
      </c>
      <c r="D86">
        <v>17</v>
      </c>
      <c r="E86" t="s">
        <v>2013</v>
      </c>
      <c r="F86" t="s">
        <v>2015</v>
      </c>
      <c r="G86" t="s">
        <v>2021</v>
      </c>
      <c r="H86" t="s">
        <v>2024</v>
      </c>
      <c r="I86">
        <v>35</v>
      </c>
      <c r="J86" t="s">
        <v>2032</v>
      </c>
      <c r="K86" t="s">
        <v>2036</v>
      </c>
    </row>
    <row r="87" spans="1:11" x14ac:dyDescent="0.3">
      <c r="A87" s="6" t="s">
        <v>96</v>
      </c>
      <c r="B87" t="s">
        <v>1096</v>
      </c>
      <c r="C87" t="s">
        <v>2008</v>
      </c>
      <c r="D87">
        <v>15</v>
      </c>
      <c r="E87" t="s">
        <v>2011</v>
      </c>
      <c r="F87" t="s">
        <v>2016</v>
      </c>
      <c r="G87" t="s">
        <v>2022</v>
      </c>
      <c r="H87" t="s">
        <v>2024</v>
      </c>
      <c r="I87">
        <v>76</v>
      </c>
      <c r="J87" t="s">
        <v>2025</v>
      </c>
      <c r="K87" t="s">
        <v>2035</v>
      </c>
    </row>
    <row r="88" spans="1:11" x14ac:dyDescent="0.3">
      <c r="A88" s="6" t="s">
        <v>97</v>
      </c>
      <c r="B88" t="s">
        <v>1097</v>
      </c>
      <c r="C88" t="s">
        <v>2008</v>
      </c>
      <c r="D88">
        <v>18</v>
      </c>
      <c r="E88" t="s">
        <v>2012</v>
      </c>
      <c r="F88" t="s">
        <v>2017</v>
      </c>
      <c r="G88" t="s">
        <v>2018</v>
      </c>
      <c r="H88" t="s">
        <v>2024</v>
      </c>
      <c r="I88">
        <v>84</v>
      </c>
      <c r="J88" t="s">
        <v>2027</v>
      </c>
      <c r="K88" t="s">
        <v>2035</v>
      </c>
    </row>
    <row r="89" spans="1:11" x14ac:dyDescent="0.3">
      <c r="A89" s="6" t="s">
        <v>98</v>
      </c>
      <c r="B89" t="s">
        <v>1098</v>
      </c>
      <c r="C89" t="s">
        <v>2007</v>
      </c>
      <c r="D89">
        <v>16</v>
      </c>
      <c r="E89" t="s">
        <v>2009</v>
      </c>
      <c r="F89" t="s">
        <v>2017</v>
      </c>
      <c r="G89" t="s">
        <v>2022</v>
      </c>
      <c r="H89" t="s">
        <v>2024</v>
      </c>
      <c r="I89">
        <v>36</v>
      </c>
      <c r="J89" t="s">
        <v>2026</v>
      </c>
      <c r="K89" t="s">
        <v>2036</v>
      </c>
    </row>
    <row r="90" spans="1:11" x14ac:dyDescent="0.3">
      <c r="A90" s="6" t="s">
        <v>99</v>
      </c>
      <c r="B90" t="s">
        <v>1099</v>
      </c>
      <c r="C90" t="s">
        <v>2007</v>
      </c>
      <c r="D90">
        <v>18</v>
      </c>
      <c r="E90" t="s">
        <v>2012</v>
      </c>
      <c r="F90" t="s">
        <v>2014</v>
      </c>
      <c r="G90" t="s">
        <v>2022</v>
      </c>
      <c r="H90" t="s">
        <v>2023</v>
      </c>
      <c r="I90">
        <v>65</v>
      </c>
      <c r="J90" t="s">
        <v>2026</v>
      </c>
      <c r="K90" t="s">
        <v>2035</v>
      </c>
    </row>
    <row r="91" spans="1:11" x14ac:dyDescent="0.3">
      <c r="A91" s="6" t="s">
        <v>100</v>
      </c>
      <c r="B91" t="s">
        <v>1100</v>
      </c>
      <c r="C91" t="s">
        <v>2007</v>
      </c>
      <c r="D91">
        <v>16</v>
      </c>
      <c r="E91" t="s">
        <v>2013</v>
      </c>
      <c r="F91" t="s">
        <v>2017</v>
      </c>
      <c r="G91" t="s">
        <v>2021</v>
      </c>
      <c r="H91" t="s">
        <v>2023</v>
      </c>
      <c r="I91">
        <v>43</v>
      </c>
      <c r="J91" t="s">
        <v>2027</v>
      </c>
      <c r="K91" t="s">
        <v>2036</v>
      </c>
    </row>
    <row r="92" spans="1:11" x14ac:dyDescent="0.3">
      <c r="A92" s="6" t="s">
        <v>101</v>
      </c>
      <c r="B92" t="s">
        <v>1101</v>
      </c>
      <c r="C92" t="s">
        <v>2007</v>
      </c>
      <c r="D92">
        <v>16</v>
      </c>
      <c r="E92" t="s">
        <v>2012</v>
      </c>
      <c r="F92" t="s">
        <v>2014</v>
      </c>
      <c r="G92" t="s">
        <v>2020</v>
      </c>
      <c r="H92" t="s">
        <v>2023</v>
      </c>
      <c r="I92">
        <v>79</v>
      </c>
      <c r="J92" t="s">
        <v>2025</v>
      </c>
      <c r="K92" t="s">
        <v>2035</v>
      </c>
    </row>
    <row r="93" spans="1:11" x14ac:dyDescent="0.3">
      <c r="A93" s="6" t="s">
        <v>102</v>
      </c>
      <c r="B93" t="s">
        <v>1102</v>
      </c>
      <c r="C93" t="s">
        <v>2008</v>
      </c>
      <c r="D93">
        <v>15</v>
      </c>
      <c r="E93" t="s">
        <v>2010</v>
      </c>
      <c r="F93" t="s">
        <v>2016</v>
      </c>
      <c r="G93" t="s">
        <v>2022</v>
      </c>
      <c r="H93" t="s">
        <v>2023</v>
      </c>
      <c r="I93">
        <v>6</v>
      </c>
      <c r="J93" t="s">
        <v>2033</v>
      </c>
      <c r="K93" t="s">
        <v>2036</v>
      </c>
    </row>
    <row r="94" spans="1:11" x14ac:dyDescent="0.3">
      <c r="A94" s="6" t="s">
        <v>103</v>
      </c>
      <c r="B94" t="s">
        <v>1103</v>
      </c>
      <c r="C94" t="s">
        <v>2008</v>
      </c>
      <c r="D94">
        <v>17</v>
      </c>
      <c r="E94" t="s">
        <v>2009</v>
      </c>
      <c r="F94" t="s">
        <v>2016</v>
      </c>
      <c r="G94" t="s">
        <v>2022</v>
      </c>
      <c r="H94" t="s">
        <v>2024</v>
      </c>
      <c r="I94">
        <v>89</v>
      </c>
      <c r="J94" t="s">
        <v>2032</v>
      </c>
      <c r="K94" t="s">
        <v>2035</v>
      </c>
    </row>
    <row r="95" spans="1:11" x14ac:dyDescent="0.3">
      <c r="A95" s="6" t="s">
        <v>104</v>
      </c>
      <c r="B95" t="s">
        <v>1104</v>
      </c>
      <c r="C95" t="s">
        <v>2007</v>
      </c>
      <c r="D95">
        <v>17</v>
      </c>
      <c r="E95" t="s">
        <v>2009</v>
      </c>
      <c r="F95" t="s">
        <v>2015</v>
      </c>
      <c r="G95" t="s">
        <v>2020</v>
      </c>
      <c r="H95" t="s">
        <v>2024</v>
      </c>
      <c r="I95">
        <v>47</v>
      </c>
      <c r="J95" t="s">
        <v>2030</v>
      </c>
      <c r="K95" t="s">
        <v>2036</v>
      </c>
    </row>
    <row r="96" spans="1:11" x14ac:dyDescent="0.3">
      <c r="A96" s="6" t="s">
        <v>105</v>
      </c>
      <c r="B96" t="s">
        <v>1105</v>
      </c>
      <c r="C96" t="s">
        <v>2007</v>
      </c>
      <c r="D96">
        <v>16</v>
      </c>
      <c r="E96" t="s">
        <v>2011</v>
      </c>
      <c r="F96" t="s">
        <v>2016</v>
      </c>
      <c r="G96" t="s">
        <v>2020</v>
      </c>
      <c r="H96" t="s">
        <v>2024</v>
      </c>
      <c r="I96">
        <v>92</v>
      </c>
      <c r="J96" t="s">
        <v>2026</v>
      </c>
      <c r="K96" t="s">
        <v>2035</v>
      </c>
    </row>
    <row r="97" spans="1:11" x14ac:dyDescent="0.3">
      <c r="A97" s="6" t="s">
        <v>106</v>
      </c>
      <c r="B97" t="s">
        <v>1106</v>
      </c>
      <c r="C97" t="s">
        <v>2008</v>
      </c>
      <c r="D97">
        <v>17</v>
      </c>
      <c r="E97" t="s">
        <v>2010</v>
      </c>
      <c r="F97" t="s">
        <v>2016</v>
      </c>
      <c r="G97" t="s">
        <v>2021</v>
      </c>
      <c r="H97" t="s">
        <v>2023</v>
      </c>
      <c r="I97">
        <v>0</v>
      </c>
      <c r="J97" t="s">
        <v>2027</v>
      </c>
      <c r="K97" t="s">
        <v>2036</v>
      </c>
    </row>
    <row r="98" spans="1:11" x14ac:dyDescent="0.3">
      <c r="A98" s="6" t="s">
        <v>107</v>
      </c>
      <c r="B98" t="s">
        <v>1107</v>
      </c>
      <c r="C98" t="s">
        <v>2007</v>
      </c>
      <c r="D98">
        <v>15</v>
      </c>
      <c r="E98" t="s">
        <v>2012</v>
      </c>
      <c r="F98" t="s">
        <v>2014</v>
      </c>
      <c r="G98" t="s">
        <v>2020</v>
      </c>
      <c r="H98" t="s">
        <v>2024</v>
      </c>
      <c r="I98">
        <v>75</v>
      </c>
      <c r="J98" t="s">
        <v>2029</v>
      </c>
      <c r="K98" t="s">
        <v>2035</v>
      </c>
    </row>
    <row r="99" spans="1:11" x14ac:dyDescent="0.3">
      <c r="A99" s="6" t="s">
        <v>108</v>
      </c>
      <c r="B99" t="s">
        <v>1108</v>
      </c>
      <c r="C99" t="s">
        <v>2008</v>
      </c>
      <c r="D99">
        <v>16</v>
      </c>
      <c r="E99" t="s">
        <v>2013</v>
      </c>
      <c r="F99" t="s">
        <v>2015</v>
      </c>
      <c r="G99" t="s">
        <v>2021</v>
      </c>
      <c r="H99" t="s">
        <v>2024</v>
      </c>
      <c r="I99">
        <v>98</v>
      </c>
      <c r="J99" t="s">
        <v>2025</v>
      </c>
      <c r="K99" t="s">
        <v>2035</v>
      </c>
    </row>
    <row r="100" spans="1:11" x14ac:dyDescent="0.3">
      <c r="A100" s="6" t="s">
        <v>109</v>
      </c>
      <c r="B100" t="s">
        <v>1109</v>
      </c>
      <c r="C100" t="s">
        <v>2008</v>
      </c>
      <c r="D100">
        <v>18</v>
      </c>
      <c r="E100" t="s">
        <v>2011</v>
      </c>
      <c r="F100" t="s">
        <v>2015</v>
      </c>
      <c r="G100" t="s">
        <v>2020</v>
      </c>
      <c r="H100" t="s">
        <v>2023</v>
      </c>
      <c r="I100">
        <v>62</v>
      </c>
      <c r="J100" t="s">
        <v>2026</v>
      </c>
      <c r="K100" t="s">
        <v>2035</v>
      </c>
    </row>
    <row r="101" spans="1:11" x14ac:dyDescent="0.3">
      <c r="A101" s="6" t="s">
        <v>110</v>
      </c>
      <c r="B101" t="s">
        <v>1110</v>
      </c>
      <c r="C101" t="s">
        <v>2007</v>
      </c>
      <c r="D101">
        <v>15</v>
      </c>
      <c r="E101" t="s">
        <v>2012</v>
      </c>
      <c r="F101" t="s">
        <v>2017</v>
      </c>
      <c r="G101" t="s">
        <v>2020</v>
      </c>
      <c r="H101" t="s">
        <v>2023</v>
      </c>
      <c r="I101">
        <v>57</v>
      </c>
      <c r="J101" t="s">
        <v>2032</v>
      </c>
      <c r="K101" t="s">
        <v>2035</v>
      </c>
    </row>
    <row r="102" spans="1:11" x14ac:dyDescent="0.3">
      <c r="A102" s="6" t="s">
        <v>111</v>
      </c>
      <c r="B102" t="s">
        <v>1111</v>
      </c>
      <c r="C102" t="s">
        <v>2007</v>
      </c>
      <c r="D102">
        <v>15</v>
      </c>
      <c r="E102" t="s">
        <v>2011</v>
      </c>
      <c r="F102" t="s">
        <v>2016</v>
      </c>
      <c r="G102" t="s">
        <v>2018</v>
      </c>
      <c r="H102" t="s">
        <v>2024</v>
      </c>
      <c r="I102">
        <v>91</v>
      </c>
      <c r="J102" t="s">
        <v>2029</v>
      </c>
      <c r="K102" t="s">
        <v>2035</v>
      </c>
    </row>
    <row r="103" spans="1:11" x14ac:dyDescent="0.3">
      <c r="A103" s="6" t="s">
        <v>112</v>
      </c>
      <c r="B103" t="s">
        <v>1112</v>
      </c>
      <c r="C103" t="s">
        <v>2007</v>
      </c>
      <c r="D103">
        <v>14</v>
      </c>
      <c r="E103" t="s">
        <v>2011</v>
      </c>
      <c r="F103" t="s">
        <v>2014</v>
      </c>
      <c r="G103" t="s">
        <v>2019</v>
      </c>
      <c r="H103" t="s">
        <v>2024</v>
      </c>
      <c r="I103">
        <v>76</v>
      </c>
      <c r="J103" t="s">
        <v>2033</v>
      </c>
      <c r="K103" t="s">
        <v>2035</v>
      </c>
    </row>
    <row r="104" spans="1:11" x14ac:dyDescent="0.3">
      <c r="A104" s="6" t="s">
        <v>113</v>
      </c>
      <c r="B104" t="s">
        <v>1113</v>
      </c>
      <c r="C104" t="s">
        <v>2008</v>
      </c>
      <c r="D104">
        <v>14</v>
      </c>
      <c r="E104" t="s">
        <v>2009</v>
      </c>
      <c r="F104" t="s">
        <v>2016</v>
      </c>
      <c r="G104" t="s">
        <v>2020</v>
      </c>
      <c r="H104" t="s">
        <v>2024</v>
      </c>
      <c r="I104">
        <v>95</v>
      </c>
      <c r="J104" t="s">
        <v>2033</v>
      </c>
      <c r="K104" t="s">
        <v>2035</v>
      </c>
    </row>
    <row r="105" spans="1:11" x14ac:dyDescent="0.3">
      <c r="A105" s="6" t="s">
        <v>114</v>
      </c>
      <c r="B105" t="s">
        <v>1114</v>
      </c>
      <c r="C105" t="s">
        <v>2007</v>
      </c>
      <c r="D105">
        <v>16</v>
      </c>
      <c r="E105" t="s">
        <v>2009</v>
      </c>
      <c r="F105" t="s">
        <v>2014</v>
      </c>
      <c r="G105" t="s">
        <v>2020</v>
      </c>
      <c r="H105" t="s">
        <v>2024</v>
      </c>
      <c r="I105">
        <v>18</v>
      </c>
      <c r="J105" t="s">
        <v>2034</v>
      </c>
      <c r="K105" t="s">
        <v>2036</v>
      </c>
    </row>
    <row r="106" spans="1:11" x14ac:dyDescent="0.3">
      <c r="A106" s="6" t="s">
        <v>115</v>
      </c>
      <c r="B106" t="s">
        <v>1115</v>
      </c>
      <c r="C106" t="s">
        <v>2008</v>
      </c>
      <c r="D106">
        <v>17</v>
      </c>
      <c r="E106" t="s">
        <v>2011</v>
      </c>
      <c r="F106" t="s">
        <v>2014</v>
      </c>
      <c r="G106" t="s">
        <v>2018</v>
      </c>
      <c r="H106" t="s">
        <v>2023</v>
      </c>
      <c r="I106">
        <v>67</v>
      </c>
      <c r="J106" t="s">
        <v>2032</v>
      </c>
      <c r="K106" t="s">
        <v>2035</v>
      </c>
    </row>
    <row r="107" spans="1:11" x14ac:dyDescent="0.3">
      <c r="A107" s="6" t="s">
        <v>116</v>
      </c>
      <c r="B107" t="s">
        <v>1116</v>
      </c>
      <c r="C107" t="s">
        <v>2008</v>
      </c>
      <c r="D107">
        <v>14</v>
      </c>
      <c r="E107" t="s">
        <v>2010</v>
      </c>
      <c r="F107" t="s">
        <v>2017</v>
      </c>
      <c r="G107" t="s">
        <v>2022</v>
      </c>
      <c r="H107" t="s">
        <v>2023</v>
      </c>
      <c r="I107">
        <v>72</v>
      </c>
      <c r="J107" t="s">
        <v>2026</v>
      </c>
      <c r="K107" t="s">
        <v>2035</v>
      </c>
    </row>
    <row r="108" spans="1:11" x14ac:dyDescent="0.3">
      <c r="A108" s="6" t="s">
        <v>117</v>
      </c>
      <c r="B108" t="s">
        <v>1117</v>
      </c>
      <c r="C108" t="s">
        <v>2007</v>
      </c>
      <c r="D108">
        <v>16</v>
      </c>
      <c r="E108" t="s">
        <v>2010</v>
      </c>
      <c r="F108" t="s">
        <v>2016</v>
      </c>
      <c r="G108" t="s">
        <v>2022</v>
      </c>
      <c r="H108" t="s">
        <v>2023</v>
      </c>
      <c r="I108">
        <v>65</v>
      </c>
      <c r="J108" t="s">
        <v>2030</v>
      </c>
      <c r="K108" t="s">
        <v>2035</v>
      </c>
    </row>
    <row r="109" spans="1:11" x14ac:dyDescent="0.3">
      <c r="A109" s="6" t="s">
        <v>118</v>
      </c>
      <c r="B109" t="s">
        <v>1118</v>
      </c>
      <c r="C109" t="s">
        <v>2007</v>
      </c>
      <c r="D109">
        <v>18</v>
      </c>
      <c r="E109" t="s">
        <v>2011</v>
      </c>
      <c r="F109" t="s">
        <v>2017</v>
      </c>
      <c r="G109" t="s">
        <v>2018</v>
      </c>
      <c r="H109" t="s">
        <v>2023</v>
      </c>
      <c r="I109">
        <v>45</v>
      </c>
      <c r="J109" t="s">
        <v>2032</v>
      </c>
      <c r="K109" t="s">
        <v>2036</v>
      </c>
    </row>
    <row r="110" spans="1:11" x14ac:dyDescent="0.3">
      <c r="A110" s="6" t="s">
        <v>119</v>
      </c>
      <c r="B110" t="s">
        <v>1119</v>
      </c>
      <c r="C110" t="s">
        <v>2008</v>
      </c>
      <c r="D110">
        <v>15</v>
      </c>
      <c r="E110" t="s">
        <v>2011</v>
      </c>
      <c r="F110" t="s">
        <v>2014</v>
      </c>
      <c r="G110" t="s">
        <v>2019</v>
      </c>
      <c r="H110" t="s">
        <v>2023</v>
      </c>
      <c r="I110">
        <v>50</v>
      </c>
      <c r="J110" t="s">
        <v>2027</v>
      </c>
      <c r="K110" t="s">
        <v>2035</v>
      </c>
    </row>
    <row r="111" spans="1:11" x14ac:dyDescent="0.3">
      <c r="A111" s="6" t="s">
        <v>120</v>
      </c>
      <c r="B111" t="s">
        <v>1120</v>
      </c>
      <c r="C111" t="s">
        <v>2007</v>
      </c>
      <c r="D111">
        <v>18</v>
      </c>
      <c r="E111" t="s">
        <v>2009</v>
      </c>
      <c r="F111" t="s">
        <v>2017</v>
      </c>
      <c r="G111" t="s">
        <v>2018</v>
      </c>
      <c r="H111" t="s">
        <v>2024</v>
      </c>
      <c r="I111">
        <v>52</v>
      </c>
      <c r="J111" t="s">
        <v>2027</v>
      </c>
      <c r="K111" t="s">
        <v>2035</v>
      </c>
    </row>
    <row r="112" spans="1:11" x14ac:dyDescent="0.3">
      <c r="A112" s="6" t="s">
        <v>121</v>
      </c>
      <c r="B112" t="s">
        <v>1121</v>
      </c>
      <c r="C112" t="s">
        <v>2007</v>
      </c>
      <c r="D112">
        <v>16</v>
      </c>
      <c r="E112" t="s">
        <v>2013</v>
      </c>
      <c r="F112" t="s">
        <v>2016</v>
      </c>
      <c r="G112" t="s">
        <v>2018</v>
      </c>
      <c r="H112" t="s">
        <v>2024</v>
      </c>
      <c r="I112">
        <v>54</v>
      </c>
      <c r="J112" t="s">
        <v>2032</v>
      </c>
      <c r="K112" t="s">
        <v>2035</v>
      </c>
    </row>
    <row r="113" spans="1:11" x14ac:dyDescent="0.3">
      <c r="A113" s="6" t="s">
        <v>122</v>
      </c>
      <c r="B113" t="s">
        <v>1122</v>
      </c>
      <c r="C113" t="s">
        <v>2008</v>
      </c>
      <c r="D113">
        <v>18</v>
      </c>
      <c r="E113" t="s">
        <v>2010</v>
      </c>
      <c r="F113" t="s">
        <v>2015</v>
      </c>
      <c r="G113" t="s">
        <v>2022</v>
      </c>
      <c r="H113" t="s">
        <v>2023</v>
      </c>
      <c r="I113">
        <v>61</v>
      </c>
      <c r="J113" t="s">
        <v>2025</v>
      </c>
      <c r="K113" t="s">
        <v>2035</v>
      </c>
    </row>
    <row r="114" spans="1:11" x14ac:dyDescent="0.3">
      <c r="A114" s="6" t="s">
        <v>123</v>
      </c>
      <c r="B114" t="s">
        <v>1123</v>
      </c>
      <c r="C114" t="s">
        <v>2007</v>
      </c>
      <c r="D114">
        <v>14</v>
      </c>
      <c r="E114" t="s">
        <v>2010</v>
      </c>
      <c r="F114" t="s">
        <v>2016</v>
      </c>
      <c r="G114" t="s">
        <v>2021</v>
      </c>
      <c r="H114" t="s">
        <v>2023</v>
      </c>
      <c r="I114">
        <v>65</v>
      </c>
      <c r="J114" t="s">
        <v>2025</v>
      </c>
      <c r="K114" t="s">
        <v>2035</v>
      </c>
    </row>
    <row r="115" spans="1:11" x14ac:dyDescent="0.3">
      <c r="A115" s="6" t="s">
        <v>124</v>
      </c>
      <c r="B115" t="s">
        <v>1124</v>
      </c>
      <c r="C115" t="s">
        <v>2007</v>
      </c>
      <c r="D115">
        <v>14</v>
      </c>
      <c r="E115" t="s">
        <v>2012</v>
      </c>
      <c r="F115" t="s">
        <v>2015</v>
      </c>
      <c r="G115" t="s">
        <v>2022</v>
      </c>
      <c r="H115" t="s">
        <v>2023</v>
      </c>
      <c r="I115">
        <v>86</v>
      </c>
      <c r="J115" t="s">
        <v>2030</v>
      </c>
      <c r="K115" t="s">
        <v>2035</v>
      </c>
    </row>
    <row r="116" spans="1:11" x14ac:dyDescent="0.3">
      <c r="A116" s="6" t="s">
        <v>125</v>
      </c>
      <c r="B116" t="s">
        <v>1125</v>
      </c>
      <c r="C116" t="s">
        <v>2008</v>
      </c>
      <c r="D116">
        <v>18</v>
      </c>
      <c r="E116" t="s">
        <v>2009</v>
      </c>
      <c r="F116" t="s">
        <v>2015</v>
      </c>
      <c r="G116" t="s">
        <v>2022</v>
      </c>
      <c r="H116" t="s">
        <v>2024</v>
      </c>
      <c r="I116">
        <v>82</v>
      </c>
      <c r="J116" t="s">
        <v>2032</v>
      </c>
      <c r="K116" t="s">
        <v>2035</v>
      </c>
    </row>
    <row r="117" spans="1:11" x14ac:dyDescent="0.3">
      <c r="A117" s="6" t="s">
        <v>126</v>
      </c>
      <c r="B117" t="s">
        <v>1126</v>
      </c>
      <c r="C117" t="s">
        <v>2008</v>
      </c>
      <c r="D117">
        <v>16</v>
      </c>
      <c r="E117" t="s">
        <v>2009</v>
      </c>
      <c r="F117" t="s">
        <v>2015</v>
      </c>
      <c r="G117" t="s">
        <v>2018</v>
      </c>
      <c r="H117" t="s">
        <v>2023</v>
      </c>
      <c r="I117">
        <v>50</v>
      </c>
      <c r="J117" t="s">
        <v>2030</v>
      </c>
      <c r="K117" t="s">
        <v>2035</v>
      </c>
    </row>
    <row r="118" spans="1:11" x14ac:dyDescent="0.3">
      <c r="A118" s="6" t="s">
        <v>127</v>
      </c>
      <c r="B118" t="s">
        <v>1127</v>
      </c>
      <c r="C118" t="s">
        <v>2008</v>
      </c>
      <c r="D118">
        <v>17</v>
      </c>
      <c r="E118" t="s">
        <v>2013</v>
      </c>
      <c r="F118" t="s">
        <v>2015</v>
      </c>
      <c r="G118" t="s">
        <v>2019</v>
      </c>
      <c r="H118" t="s">
        <v>2023</v>
      </c>
      <c r="I118">
        <v>7</v>
      </c>
      <c r="J118" t="s">
        <v>2031</v>
      </c>
      <c r="K118" t="s">
        <v>2036</v>
      </c>
    </row>
    <row r="119" spans="1:11" x14ac:dyDescent="0.3">
      <c r="A119" s="6" t="s">
        <v>128</v>
      </c>
      <c r="B119" t="s">
        <v>1128</v>
      </c>
      <c r="C119" t="s">
        <v>2008</v>
      </c>
      <c r="D119">
        <v>18</v>
      </c>
      <c r="E119" t="s">
        <v>2011</v>
      </c>
      <c r="F119" t="s">
        <v>2015</v>
      </c>
      <c r="G119" t="s">
        <v>2022</v>
      </c>
      <c r="H119" t="s">
        <v>2024</v>
      </c>
      <c r="I119">
        <v>92</v>
      </c>
      <c r="J119" t="s">
        <v>2030</v>
      </c>
      <c r="K119" t="s">
        <v>2035</v>
      </c>
    </row>
    <row r="120" spans="1:11" x14ac:dyDescent="0.3">
      <c r="A120" s="6" t="s">
        <v>129</v>
      </c>
      <c r="B120" t="s">
        <v>1129</v>
      </c>
      <c r="C120" t="s">
        <v>2007</v>
      </c>
      <c r="D120">
        <v>14</v>
      </c>
      <c r="E120" t="s">
        <v>2009</v>
      </c>
      <c r="F120" t="s">
        <v>2015</v>
      </c>
      <c r="G120" t="s">
        <v>2022</v>
      </c>
      <c r="H120" t="s">
        <v>2023</v>
      </c>
      <c r="I120">
        <v>15</v>
      </c>
      <c r="J120" t="s">
        <v>2028</v>
      </c>
      <c r="K120" t="s">
        <v>2036</v>
      </c>
    </row>
    <row r="121" spans="1:11" x14ac:dyDescent="0.3">
      <c r="A121" s="6" t="s">
        <v>130</v>
      </c>
      <c r="B121" t="s">
        <v>1130</v>
      </c>
      <c r="C121" t="s">
        <v>2008</v>
      </c>
      <c r="D121">
        <v>18</v>
      </c>
      <c r="E121" t="s">
        <v>2011</v>
      </c>
      <c r="F121" t="s">
        <v>2015</v>
      </c>
      <c r="G121" t="s">
        <v>2019</v>
      </c>
      <c r="H121" t="s">
        <v>2023</v>
      </c>
      <c r="I121">
        <v>100</v>
      </c>
      <c r="J121" t="s">
        <v>2031</v>
      </c>
      <c r="K121" t="s">
        <v>2035</v>
      </c>
    </row>
    <row r="122" spans="1:11" x14ac:dyDescent="0.3">
      <c r="A122" s="6" t="s">
        <v>131</v>
      </c>
      <c r="B122" t="s">
        <v>1131</v>
      </c>
      <c r="C122" t="s">
        <v>2008</v>
      </c>
      <c r="D122">
        <v>15</v>
      </c>
      <c r="E122" t="s">
        <v>2011</v>
      </c>
      <c r="F122" t="s">
        <v>2017</v>
      </c>
      <c r="G122" t="s">
        <v>2022</v>
      </c>
      <c r="H122" t="s">
        <v>2023</v>
      </c>
      <c r="I122">
        <v>14</v>
      </c>
      <c r="J122" t="s">
        <v>2025</v>
      </c>
      <c r="K122" t="s">
        <v>2036</v>
      </c>
    </row>
    <row r="123" spans="1:11" x14ac:dyDescent="0.3">
      <c r="A123" s="6" t="s">
        <v>132</v>
      </c>
      <c r="B123" t="s">
        <v>1132</v>
      </c>
      <c r="C123" t="s">
        <v>2007</v>
      </c>
      <c r="D123">
        <v>14</v>
      </c>
      <c r="E123" t="s">
        <v>2009</v>
      </c>
      <c r="F123" t="s">
        <v>2017</v>
      </c>
      <c r="G123" t="s">
        <v>2021</v>
      </c>
      <c r="H123" t="s">
        <v>2024</v>
      </c>
      <c r="I123">
        <v>1</v>
      </c>
      <c r="J123" t="s">
        <v>2031</v>
      </c>
      <c r="K123" t="s">
        <v>2036</v>
      </c>
    </row>
    <row r="124" spans="1:11" x14ac:dyDescent="0.3">
      <c r="A124" s="6" t="s">
        <v>133</v>
      </c>
      <c r="B124" t="s">
        <v>1133</v>
      </c>
      <c r="C124" t="s">
        <v>2008</v>
      </c>
      <c r="D124">
        <v>18</v>
      </c>
      <c r="E124" t="s">
        <v>2009</v>
      </c>
      <c r="F124" t="s">
        <v>2017</v>
      </c>
      <c r="G124" t="s">
        <v>2020</v>
      </c>
      <c r="H124" t="s">
        <v>2024</v>
      </c>
      <c r="I124">
        <v>19</v>
      </c>
      <c r="J124" t="s">
        <v>2029</v>
      </c>
      <c r="K124" t="s">
        <v>2036</v>
      </c>
    </row>
    <row r="125" spans="1:11" x14ac:dyDescent="0.3">
      <c r="A125" s="6" t="s">
        <v>134</v>
      </c>
      <c r="B125" t="s">
        <v>1134</v>
      </c>
      <c r="C125" t="s">
        <v>2007</v>
      </c>
      <c r="D125">
        <v>15</v>
      </c>
      <c r="E125" t="s">
        <v>2011</v>
      </c>
      <c r="F125" t="s">
        <v>2016</v>
      </c>
      <c r="G125" t="s">
        <v>2022</v>
      </c>
      <c r="H125" t="s">
        <v>2023</v>
      </c>
      <c r="I125">
        <v>22</v>
      </c>
      <c r="J125" t="s">
        <v>2027</v>
      </c>
      <c r="K125" t="s">
        <v>2036</v>
      </c>
    </row>
    <row r="126" spans="1:11" x14ac:dyDescent="0.3">
      <c r="A126" s="6" t="s">
        <v>135</v>
      </c>
      <c r="B126" t="s">
        <v>1135</v>
      </c>
      <c r="C126" t="s">
        <v>2008</v>
      </c>
      <c r="D126">
        <v>16</v>
      </c>
      <c r="E126" t="s">
        <v>2010</v>
      </c>
      <c r="F126" t="s">
        <v>2014</v>
      </c>
      <c r="G126" t="s">
        <v>2022</v>
      </c>
      <c r="H126" t="s">
        <v>2024</v>
      </c>
      <c r="I126">
        <v>24</v>
      </c>
      <c r="J126" t="s">
        <v>2031</v>
      </c>
      <c r="K126" t="s">
        <v>2036</v>
      </c>
    </row>
    <row r="127" spans="1:11" x14ac:dyDescent="0.3">
      <c r="A127" s="6" t="s">
        <v>136</v>
      </c>
      <c r="B127" t="s">
        <v>1136</v>
      </c>
      <c r="C127" t="s">
        <v>2007</v>
      </c>
      <c r="D127">
        <v>15</v>
      </c>
      <c r="E127" t="s">
        <v>2009</v>
      </c>
      <c r="F127" t="s">
        <v>2015</v>
      </c>
      <c r="G127" t="s">
        <v>2019</v>
      </c>
      <c r="H127" t="s">
        <v>2023</v>
      </c>
      <c r="I127">
        <v>25</v>
      </c>
      <c r="J127" t="s">
        <v>2025</v>
      </c>
      <c r="K127" t="s">
        <v>2036</v>
      </c>
    </row>
    <row r="128" spans="1:11" x14ac:dyDescent="0.3">
      <c r="A128" s="6" t="s">
        <v>137</v>
      </c>
      <c r="B128" t="s">
        <v>1137</v>
      </c>
      <c r="C128" t="s">
        <v>2008</v>
      </c>
      <c r="D128">
        <v>15</v>
      </c>
      <c r="E128" t="s">
        <v>2010</v>
      </c>
      <c r="F128" t="s">
        <v>2016</v>
      </c>
      <c r="G128" t="s">
        <v>2020</v>
      </c>
      <c r="H128" t="s">
        <v>2024</v>
      </c>
      <c r="I128">
        <v>97</v>
      </c>
      <c r="J128" t="s">
        <v>2032</v>
      </c>
      <c r="K128" t="s">
        <v>2035</v>
      </c>
    </row>
    <row r="129" spans="1:11" x14ac:dyDescent="0.3">
      <c r="A129" s="6" t="s">
        <v>138</v>
      </c>
      <c r="B129" t="s">
        <v>1138</v>
      </c>
      <c r="C129" t="s">
        <v>2007</v>
      </c>
      <c r="D129">
        <v>15</v>
      </c>
      <c r="E129" t="s">
        <v>2009</v>
      </c>
      <c r="F129" t="s">
        <v>2014</v>
      </c>
      <c r="G129" t="s">
        <v>2021</v>
      </c>
      <c r="H129" t="s">
        <v>2024</v>
      </c>
      <c r="I129">
        <v>74</v>
      </c>
      <c r="J129" t="s">
        <v>2031</v>
      </c>
      <c r="K129" t="s">
        <v>2035</v>
      </c>
    </row>
    <row r="130" spans="1:11" x14ac:dyDescent="0.3">
      <c r="A130" s="6" t="s">
        <v>139</v>
      </c>
      <c r="B130" t="s">
        <v>1139</v>
      </c>
      <c r="C130" t="s">
        <v>2007</v>
      </c>
      <c r="D130">
        <v>14</v>
      </c>
      <c r="E130" t="s">
        <v>2009</v>
      </c>
      <c r="F130" t="s">
        <v>2016</v>
      </c>
      <c r="G130" t="s">
        <v>2020</v>
      </c>
      <c r="H130" t="s">
        <v>2023</v>
      </c>
      <c r="I130">
        <v>4</v>
      </c>
      <c r="J130" t="s">
        <v>2026</v>
      </c>
      <c r="K130" t="s">
        <v>2036</v>
      </c>
    </row>
    <row r="131" spans="1:11" x14ac:dyDescent="0.3">
      <c r="A131" s="6" t="s">
        <v>140</v>
      </c>
      <c r="B131" t="s">
        <v>1140</v>
      </c>
      <c r="C131" t="s">
        <v>2007</v>
      </c>
      <c r="D131">
        <v>16</v>
      </c>
      <c r="E131" t="s">
        <v>2010</v>
      </c>
      <c r="F131" t="s">
        <v>2015</v>
      </c>
      <c r="G131" t="s">
        <v>2020</v>
      </c>
      <c r="H131" t="s">
        <v>2023</v>
      </c>
      <c r="I131">
        <v>25</v>
      </c>
      <c r="J131" t="s">
        <v>2025</v>
      </c>
      <c r="K131" t="s">
        <v>2036</v>
      </c>
    </row>
    <row r="132" spans="1:11" x14ac:dyDescent="0.3">
      <c r="A132" s="6" t="s">
        <v>141</v>
      </c>
      <c r="B132" t="s">
        <v>1141</v>
      </c>
      <c r="C132" t="s">
        <v>2008</v>
      </c>
      <c r="D132">
        <v>15</v>
      </c>
      <c r="E132" t="s">
        <v>2010</v>
      </c>
      <c r="F132" t="s">
        <v>2015</v>
      </c>
      <c r="G132" t="s">
        <v>2020</v>
      </c>
      <c r="H132" t="s">
        <v>2024</v>
      </c>
      <c r="I132">
        <v>81</v>
      </c>
      <c r="J132" t="s">
        <v>2032</v>
      </c>
      <c r="K132" t="s">
        <v>2035</v>
      </c>
    </row>
    <row r="133" spans="1:11" x14ac:dyDescent="0.3">
      <c r="A133" s="6" t="s">
        <v>142</v>
      </c>
      <c r="B133" t="s">
        <v>1142</v>
      </c>
      <c r="C133" t="s">
        <v>2007</v>
      </c>
      <c r="D133">
        <v>14</v>
      </c>
      <c r="E133" t="s">
        <v>2010</v>
      </c>
      <c r="F133" t="s">
        <v>2017</v>
      </c>
      <c r="G133" t="s">
        <v>2018</v>
      </c>
      <c r="H133" t="s">
        <v>2024</v>
      </c>
      <c r="I133">
        <v>78</v>
      </c>
      <c r="J133" t="s">
        <v>2034</v>
      </c>
      <c r="K133" t="s">
        <v>2035</v>
      </c>
    </row>
    <row r="134" spans="1:11" x14ac:dyDescent="0.3">
      <c r="A134" s="6" t="s">
        <v>143</v>
      </c>
      <c r="B134" t="s">
        <v>1143</v>
      </c>
      <c r="C134" t="s">
        <v>2008</v>
      </c>
      <c r="D134">
        <v>18</v>
      </c>
      <c r="E134" t="s">
        <v>2011</v>
      </c>
      <c r="F134" t="s">
        <v>2014</v>
      </c>
      <c r="G134" t="s">
        <v>2020</v>
      </c>
      <c r="H134" t="s">
        <v>2023</v>
      </c>
      <c r="I134">
        <v>44</v>
      </c>
      <c r="J134" t="s">
        <v>2025</v>
      </c>
      <c r="K134" t="s">
        <v>2036</v>
      </c>
    </row>
    <row r="135" spans="1:11" x14ac:dyDescent="0.3">
      <c r="A135" s="6" t="s">
        <v>144</v>
      </c>
      <c r="B135" t="s">
        <v>1144</v>
      </c>
      <c r="C135" t="s">
        <v>2007</v>
      </c>
      <c r="D135">
        <v>17</v>
      </c>
      <c r="E135" t="s">
        <v>2009</v>
      </c>
      <c r="F135" t="s">
        <v>2014</v>
      </c>
      <c r="G135" t="s">
        <v>2020</v>
      </c>
      <c r="H135" t="s">
        <v>2023</v>
      </c>
      <c r="I135">
        <v>70</v>
      </c>
      <c r="J135" t="s">
        <v>2027</v>
      </c>
      <c r="K135" t="s">
        <v>2035</v>
      </c>
    </row>
    <row r="136" spans="1:11" x14ac:dyDescent="0.3">
      <c r="A136" s="6" t="s">
        <v>145</v>
      </c>
      <c r="B136" t="s">
        <v>1145</v>
      </c>
      <c r="C136" t="s">
        <v>2007</v>
      </c>
      <c r="D136">
        <v>14</v>
      </c>
      <c r="E136" t="s">
        <v>2013</v>
      </c>
      <c r="F136" t="s">
        <v>2014</v>
      </c>
      <c r="G136" t="s">
        <v>2020</v>
      </c>
      <c r="H136" t="s">
        <v>2024</v>
      </c>
      <c r="I136">
        <v>13</v>
      </c>
      <c r="J136" t="s">
        <v>2034</v>
      </c>
      <c r="K136" t="s">
        <v>2036</v>
      </c>
    </row>
    <row r="137" spans="1:11" x14ac:dyDescent="0.3">
      <c r="A137" s="6" t="s">
        <v>146</v>
      </c>
      <c r="B137" t="s">
        <v>1146</v>
      </c>
      <c r="C137" t="s">
        <v>2008</v>
      </c>
      <c r="D137">
        <v>17</v>
      </c>
      <c r="E137" t="s">
        <v>2010</v>
      </c>
      <c r="F137" t="s">
        <v>2014</v>
      </c>
      <c r="G137" t="s">
        <v>2018</v>
      </c>
      <c r="H137" t="s">
        <v>2024</v>
      </c>
      <c r="I137">
        <v>33</v>
      </c>
      <c r="J137" t="s">
        <v>2031</v>
      </c>
      <c r="K137" t="s">
        <v>2036</v>
      </c>
    </row>
    <row r="138" spans="1:11" x14ac:dyDescent="0.3">
      <c r="A138" s="6" t="s">
        <v>147</v>
      </c>
      <c r="B138" t="s">
        <v>1147</v>
      </c>
      <c r="C138" t="s">
        <v>2007</v>
      </c>
      <c r="D138">
        <v>15</v>
      </c>
      <c r="E138" t="s">
        <v>2009</v>
      </c>
      <c r="F138" t="s">
        <v>2016</v>
      </c>
      <c r="G138" t="s">
        <v>2020</v>
      </c>
      <c r="H138" t="s">
        <v>2023</v>
      </c>
      <c r="I138">
        <v>32</v>
      </c>
      <c r="J138" t="s">
        <v>2034</v>
      </c>
      <c r="K138" t="s">
        <v>2036</v>
      </c>
    </row>
    <row r="139" spans="1:11" x14ac:dyDescent="0.3">
      <c r="A139" s="6" t="s">
        <v>148</v>
      </c>
      <c r="B139" t="s">
        <v>1148</v>
      </c>
      <c r="C139" t="s">
        <v>2007</v>
      </c>
      <c r="D139">
        <v>15</v>
      </c>
      <c r="E139" t="s">
        <v>2009</v>
      </c>
      <c r="F139" t="s">
        <v>2015</v>
      </c>
      <c r="G139" t="s">
        <v>2022</v>
      </c>
      <c r="H139" t="s">
        <v>2024</v>
      </c>
      <c r="I139">
        <v>79</v>
      </c>
      <c r="J139" t="s">
        <v>2032</v>
      </c>
      <c r="K139" t="s">
        <v>2035</v>
      </c>
    </row>
    <row r="140" spans="1:11" x14ac:dyDescent="0.3">
      <c r="A140" s="6" t="s">
        <v>149</v>
      </c>
      <c r="B140" t="s">
        <v>1149</v>
      </c>
      <c r="C140" t="s">
        <v>2007</v>
      </c>
      <c r="D140">
        <v>15</v>
      </c>
      <c r="E140" t="s">
        <v>2010</v>
      </c>
      <c r="F140" t="s">
        <v>2017</v>
      </c>
      <c r="G140" t="s">
        <v>2022</v>
      </c>
      <c r="H140" t="s">
        <v>2023</v>
      </c>
      <c r="I140">
        <v>3</v>
      </c>
      <c r="J140" t="s">
        <v>2034</v>
      </c>
      <c r="K140" t="s">
        <v>2036</v>
      </c>
    </row>
    <row r="141" spans="1:11" x14ac:dyDescent="0.3">
      <c r="A141" s="6" t="s">
        <v>150</v>
      </c>
      <c r="B141" t="s">
        <v>1150</v>
      </c>
      <c r="C141" t="s">
        <v>2008</v>
      </c>
      <c r="D141">
        <v>17</v>
      </c>
      <c r="E141" t="s">
        <v>2009</v>
      </c>
      <c r="F141" t="s">
        <v>2017</v>
      </c>
      <c r="G141" t="s">
        <v>2018</v>
      </c>
      <c r="H141" t="s">
        <v>2024</v>
      </c>
      <c r="I141">
        <v>15</v>
      </c>
      <c r="J141" t="s">
        <v>2027</v>
      </c>
      <c r="K141" t="s">
        <v>2036</v>
      </c>
    </row>
    <row r="142" spans="1:11" x14ac:dyDescent="0.3">
      <c r="A142" s="6" t="s">
        <v>151</v>
      </c>
      <c r="B142" t="s">
        <v>1151</v>
      </c>
      <c r="C142" t="s">
        <v>2007</v>
      </c>
      <c r="D142">
        <v>16</v>
      </c>
      <c r="E142" t="s">
        <v>2010</v>
      </c>
      <c r="F142" t="s">
        <v>2014</v>
      </c>
      <c r="G142" t="s">
        <v>2019</v>
      </c>
      <c r="H142" t="s">
        <v>2024</v>
      </c>
      <c r="I142">
        <v>40</v>
      </c>
      <c r="J142" t="s">
        <v>2025</v>
      </c>
      <c r="K142" t="s">
        <v>2036</v>
      </c>
    </row>
    <row r="143" spans="1:11" x14ac:dyDescent="0.3">
      <c r="A143" s="6" t="s">
        <v>152</v>
      </c>
      <c r="B143" t="s">
        <v>1152</v>
      </c>
      <c r="C143" t="s">
        <v>2008</v>
      </c>
      <c r="D143">
        <v>16</v>
      </c>
      <c r="E143" t="s">
        <v>2011</v>
      </c>
      <c r="F143" t="s">
        <v>2017</v>
      </c>
      <c r="G143" t="s">
        <v>2018</v>
      </c>
      <c r="H143" t="s">
        <v>2023</v>
      </c>
      <c r="I143">
        <v>60</v>
      </c>
      <c r="J143" t="s">
        <v>2027</v>
      </c>
      <c r="K143" t="s">
        <v>2035</v>
      </c>
    </row>
    <row r="144" spans="1:11" x14ac:dyDescent="0.3">
      <c r="A144" s="6" t="s">
        <v>153</v>
      </c>
      <c r="B144" t="s">
        <v>1153</v>
      </c>
      <c r="C144" t="s">
        <v>2007</v>
      </c>
      <c r="D144">
        <v>14</v>
      </c>
      <c r="E144" t="s">
        <v>2013</v>
      </c>
      <c r="F144" t="s">
        <v>2016</v>
      </c>
      <c r="G144" t="s">
        <v>2022</v>
      </c>
      <c r="H144" t="s">
        <v>2023</v>
      </c>
      <c r="I144">
        <v>19</v>
      </c>
      <c r="J144" t="s">
        <v>2030</v>
      </c>
      <c r="K144" t="s">
        <v>2036</v>
      </c>
    </row>
    <row r="145" spans="1:11" x14ac:dyDescent="0.3">
      <c r="A145" s="6" t="s">
        <v>154</v>
      </c>
      <c r="B145" t="s">
        <v>1154</v>
      </c>
      <c r="C145" t="s">
        <v>2008</v>
      </c>
      <c r="D145">
        <v>17</v>
      </c>
      <c r="E145" t="s">
        <v>2011</v>
      </c>
      <c r="F145" t="s">
        <v>2017</v>
      </c>
      <c r="G145" t="s">
        <v>2022</v>
      </c>
      <c r="H145" t="s">
        <v>2023</v>
      </c>
      <c r="I145">
        <v>17</v>
      </c>
      <c r="J145" t="s">
        <v>2026</v>
      </c>
      <c r="K145" t="s">
        <v>2036</v>
      </c>
    </row>
    <row r="146" spans="1:11" x14ac:dyDescent="0.3">
      <c r="A146" s="6" t="s">
        <v>155</v>
      </c>
      <c r="B146" t="s">
        <v>1155</v>
      </c>
      <c r="C146" t="s">
        <v>2007</v>
      </c>
      <c r="D146">
        <v>16</v>
      </c>
      <c r="E146" t="s">
        <v>2012</v>
      </c>
      <c r="F146" t="s">
        <v>2014</v>
      </c>
      <c r="G146" t="s">
        <v>2018</v>
      </c>
      <c r="H146" t="s">
        <v>2024</v>
      </c>
      <c r="I146">
        <v>90</v>
      </c>
      <c r="J146" t="s">
        <v>2033</v>
      </c>
      <c r="K146" t="s">
        <v>2035</v>
      </c>
    </row>
    <row r="147" spans="1:11" x14ac:dyDescent="0.3">
      <c r="A147" s="6" t="s">
        <v>156</v>
      </c>
      <c r="B147" t="s">
        <v>1156</v>
      </c>
      <c r="C147" t="s">
        <v>2008</v>
      </c>
      <c r="D147">
        <v>18</v>
      </c>
      <c r="E147" t="s">
        <v>2012</v>
      </c>
      <c r="F147" t="s">
        <v>2015</v>
      </c>
      <c r="G147" t="s">
        <v>2021</v>
      </c>
      <c r="H147" t="s">
        <v>2023</v>
      </c>
      <c r="I147">
        <v>45</v>
      </c>
      <c r="J147" t="s">
        <v>2025</v>
      </c>
      <c r="K147" t="s">
        <v>2036</v>
      </c>
    </row>
    <row r="148" spans="1:11" x14ac:dyDescent="0.3">
      <c r="A148" s="6" t="s">
        <v>157</v>
      </c>
      <c r="B148" t="s">
        <v>1157</v>
      </c>
      <c r="C148" t="s">
        <v>2008</v>
      </c>
      <c r="D148">
        <v>17</v>
      </c>
      <c r="E148" t="s">
        <v>2011</v>
      </c>
      <c r="F148" t="s">
        <v>2015</v>
      </c>
      <c r="G148" t="s">
        <v>2022</v>
      </c>
      <c r="H148" t="s">
        <v>2024</v>
      </c>
      <c r="I148">
        <v>2</v>
      </c>
      <c r="J148" t="s">
        <v>2033</v>
      </c>
      <c r="K148" t="s">
        <v>2036</v>
      </c>
    </row>
    <row r="149" spans="1:11" x14ac:dyDescent="0.3">
      <c r="A149" s="6" t="s">
        <v>158</v>
      </c>
      <c r="B149" t="s">
        <v>1158</v>
      </c>
      <c r="C149" t="s">
        <v>2007</v>
      </c>
      <c r="D149">
        <v>17</v>
      </c>
      <c r="E149" t="s">
        <v>2011</v>
      </c>
      <c r="F149" t="s">
        <v>2016</v>
      </c>
      <c r="G149" t="s">
        <v>2019</v>
      </c>
      <c r="H149" t="s">
        <v>2023</v>
      </c>
      <c r="I149">
        <v>48</v>
      </c>
      <c r="J149" t="s">
        <v>2027</v>
      </c>
      <c r="K149" t="s">
        <v>2036</v>
      </c>
    </row>
    <row r="150" spans="1:11" x14ac:dyDescent="0.3">
      <c r="A150" s="6" t="s">
        <v>159</v>
      </c>
      <c r="B150" t="s">
        <v>1159</v>
      </c>
      <c r="C150" t="s">
        <v>2007</v>
      </c>
      <c r="D150">
        <v>14</v>
      </c>
      <c r="E150" t="s">
        <v>2012</v>
      </c>
      <c r="F150" t="s">
        <v>2015</v>
      </c>
      <c r="G150" t="s">
        <v>2018</v>
      </c>
      <c r="H150" t="s">
        <v>2023</v>
      </c>
      <c r="I150">
        <v>57</v>
      </c>
      <c r="J150" t="s">
        <v>2029</v>
      </c>
      <c r="K150" t="s">
        <v>2035</v>
      </c>
    </row>
    <row r="151" spans="1:11" x14ac:dyDescent="0.3">
      <c r="A151" s="6" t="s">
        <v>160</v>
      </c>
      <c r="B151" t="s">
        <v>1160</v>
      </c>
      <c r="C151" t="s">
        <v>2008</v>
      </c>
      <c r="D151">
        <v>15</v>
      </c>
      <c r="E151" t="s">
        <v>2011</v>
      </c>
      <c r="F151" t="s">
        <v>2016</v>
      </c>
      <c r="G151" t="s">
        <v>2018</v>
      </c>
      <c r="H151" t="s">
        <v>2024</v>
      </c>
      <c r="I151">
        <v>93</v>
      </c>
      <c r="J151" t="s">
        <v>2026</v>
      </c>
      <c r="K151" t="s">
        <v>2035</v>
      </c>
    </row>
    <row r="152" spans="1:11" x14ac:dyDescent="0.3">
      <c r="A152" s="6" t="s">
        <v>161</v>
      </c>
      <c r="B152" t="s">
        <v>1161</v>
      </c>
      <c r="C152" t="s">
        <v>2007</v>
      </c>
      <c r="D152">
        <v>14</v>
      </c>
      <c r="E152" t="s">
        <v>2010</v>
      </c>
      <c r="F152" t="s">
        <v>2017</v>
      </c>
      <c r="G152" t="s">
        <v>2022</v>
      </c>
      <c r="H152" t="s">
        <v>2023</v>
      </c>
      <c r="I152">
        <v>64</v>
      </c>
      <c r="J152" t="s">
        <v>2031</v>
      </c>
      <c r="K152" t="s">
        <v>2035</v>
      </c>
    </row>
    <row r="153" spans="1:11" x14ac:dyDescent="0.3">
      <c r="A153" s="6" t="s">
        <v>162</v>
      </c>
      <c r="B153" t="s">
        <v>1162</v>
      </c>
      <c r="C153" t="s">
        <v>2008</v>
      </c>
      <c r="D153">
        <v>18</v>
      </c>
      <c r="E153" t="s">
        <v>2012</v>
      </c>
      <c r="F153" t="s">
        <v>2016</v>
      </c>
      <c r="G153" t="s">
        <v>2021</v>
      </c>
      <c r="H153" t="s">
        <v>2024</v>
      </c>
      <c r="I153">
        <v>14</v>
      </c>
      <c r="J153" t="s">
        <v>2025</v>
      </c>
      <c r="K153" t="s">
        <v>2036</v>
      </c>
    </row>
    <row r="154" spans="1:11" x14ac:dyDescent="0.3">
      <c r="A154" s="6" t="s">
        <v>163</v>
      </c>
      <c r="B154" t="s">
        <v>1163</v>
      </c>
      <c r="C154" t="s">
        <v>2007</v>
      </c>
      <c r="D154">
        <v>17</v>
      </c>
      <c r="E154" t="s">
        <v>2009</v>
      </c>
      <c r="F154" t="s">
        <v>2014</v>
      </c>
      <c r="G154" t="s">
        <v>2020</v>
      </c>
      <c r="H154" t="s">
        <v>2024</v>
      </c>
      <c r="I154">
        <v>39</v>
      </c>
      <c r="J154" t="s">
        <v>2030</v>
      </c>
      <c r="K154" t="s">
        <v>2036</v>
      </c>
    </row>
    <row r="155" spans="1:11" x14ac:dyDescent="0.3">
      <c r="A155" s="6" t="s">
        <v>164</v>
      </c>
      <c r="B155" t="s">
        <v>1164</v>
      </c>
      <c r="C155" t="s">
        <v>2007</v>
      </c>
      <c r="D155">
        <v>18</v>
      </c>
      <c r="E155" t="s">
        <v>2011</v>
      </c>
      <c r="F155" t="s">
        <v>2016</v>
      </c>
      <c r="G155" t="s">
        <v>2021</v>
      </c>
      <c r="H155" t="s">
        <v>2023</v>
      </c>
      <c r="I155">
        <v>64</v>
      </c>
      <c r="J155" t="s">
        <v>2026</v>
      </c>
      <c r="K155" t="s">
        <v>2035</v>
      </c>
    </row>
    <row r="156" spans="1:11" x14ac:dyDescent="0.3">
      <c r="A156" s="6" t="s">
        <v>165</v>
      </c>
      <c r="B156" t="s">
        <v>1165</v>
      </c>
      <c r="C156" t="s">
        <v>2008</v>
      </c>
      <c r="D156">
        <v>15</v>
      </c>
      <c r="E156" t="s">
        <v>2010</v>
      </c>
      <c r="F156" t="s">
        <v>2017</v>
      </c>
      <c r="G156" t="s">
        <v>2019</v>
      </c>
      <c r="H156" t="s">
        <v>2024</v>
      </c>
      <c r="I156">
        <v>86</v>
      </c>
      <c r="J156" t="s">
        <v>2031</v>
      </c>
      <c r="K156" t="s">
        <v>2035</v>
      </c>
    </row>
    <row r="157" spans="1:11" x14ac:dyDescent="0.3">
      <c r="A157" s="6" t="s">
        <v>166</v>
      </c>
      <c r="B157" t="s">
        <v>1166</v>
      </c>
      <c r="C157" t="s">
        <v>2008</v>
      </c>
      <c r="D157">
        <v>14</v>
      </c>
      <c r="E157" t="s">
        <v>2009</v>
      </c>
      <c r="F157" t="s">
        <v>2015</v>
      </c>
      <c r="G157" t="s">
        <v>2021</v>
      </c>
      <c r="H157" t="s">
        <v>2024</v>
      </c>
      <c r="I157">
        <v>58</v>
      </c>
      <c r="J157" t="s">
        <v>2031</v>
      </c>
      <c r="K157" t="s">
        <v>2035</v>
      </c>
    </row>
    <row r="158" spans="1:11" x14ac:dyDescent="0.3">
      <c r="A158" s="6" t="s">
        <v>167</v>
      </c>
      <c r="B158" t="s">
        <v>1167</v>
      </c>
      <c r="C158" t="s">
        <v>2007</v>
      </c>
      <c r="D158">
        <v>18</v>
      </c>
      <c r="E158" t="s">
        <v>2013</v>
      </c>
      <c r="F158" t="s">
        <v>2017</v>
      </c>
      <c r="G158" t="s">
        <v>2022</v>
      </c>
      <c r="H158" t="s">
        <v>2024</v>
      </c>
      <c r="I158">
        <v>48</v>
      </c>
      <c r="J158" t="s">
        <v>2033</v>
      </c>
      <c r="K158" t="s">
        <v>2036</v>
      </c>
    </row>
    <row r="159" spans="1:11" x14ac:dyDescent="0.3">
      <c r="A159" s="6" t="s">
        <v>168</v>
      </c>
      <c r="B159" t="s">
        <v>1168</v>
      </c>
      <c r="C159" t="s">
        <v>2007</v>
      </c>
      <c r="D159">
        <v>16</v>
      </c>
      <c r="E159" t="s">
        <v>2012</v>
      </c>
      <c r="F159" t="s">
        <v>2017</v>
      </c>
      <c r="G159" t="s">
        <v>2019</v>
      </c>
      <c r="H159" t="s">
        <v>2023</v>
      </c>
      <c r="I159">
        <v>51</v>
      </c>
      <c r="J159" t="s">
        <v>2033</v>
      </c>
      <c r="K159" t="s">
        <v>2035</v>
      </c>
    </row>
    <row r="160" spans="1:11" x14ac:dyDescent="0.3">
      <c r="A160" s="6" t="s">
        <v>169</v>
      </c>
      <c r="B160" t="s">
        <v>1169</v>
      </c>
      <c r="C160" t="s">
        <v>2007</v>
      </c>
      <c r="D160">
        <v>16</v>
      </c>
      <c r="E160" t="s">
        <v>2009</v>
      </c>
      <c r="F160" t="s">
        <v>2017</v>
      </c>
      <c r="G160" t="s">
        <v>2022</v>
      </c>
      <c r="H160" t="s">
        <v>2023</v>
      </c>
      <c r="I160">
        <v>60</v>
      </c>
      <c r="J160" t="s">
        <v>2031</v>
      </c>
      <c r="K160" t="s">
        <v>2035</v>
      </c>
    </row>
    <row r="161" spans="1:11" x14ac:dyDescent="0.3">
      <c r="A161" s="6" t="s">
        <v>170</v>
      </c>
      <c r="B161" t="s">
        <v>1170</v>
      </c>
      <c r="C161" t="s">
        <v>2008</v>
      </c>
      <c r="D161">
        <v>14</v>
      </c>
      <c r="E161" t="s">
        <v>2010</v>
      </c>
      <c r="F161" t="s">
        <v>2016</v>
      </c>
      <c r="G161" t="s">
        <v>2021</v>
      </c>
      <c r="H161" t="s">
        <v>2023</v>
      </c>
      <c r="I161">
        <v>19</v>
      </c>
      <c r="J161" t="s">
        <v>2027</v>
      </c>
      <c r="K161" t="s">
        <v>2036</v>
      </c>
    </row>
    <row r="162" spans="1:11" x14ac:dyDescent="0.3">
      <c r="A162" s="6" t="s">
        <v>171</v>
      </c>
      <c r="B162" t="s">
        <v>1171</v>
      </c>
      <c r="C162" t="s">
        <v>2008</v>
      </c>
      <c r="D162">
        <v>14</v>
      </c>
      <c r="E162" t="s">
        <v>2010</v>
      </c>
      <c r="F162" t="s">
        <v>2015</v>
      </c>
      <c r="G162" t="s">
        <v>2021</v>
      </c>
      <c r="H162" t="s">
        <v>2023</v>
      </c>
      <c r="I162">
        <v>4</v>
      </c>
      <c r="J162" t="s">
        <v>2027</v>
      </c>
      <c r="K162" t="s">
        <v>2036</v>
      </c>
    </row>
    <row r="163" spans="1:11" x14ac:dyDescent="0.3">
      <c r="A163" s="6" t="s">
        <v>172</v>
      </c>
      <c r="B163" t="s">
        <v>1172</v>
      </c>
      <c r="C163" t="s">
        <v>2008</v>
      </c>
      <c r="D163">
        <v>16</v>
      </c>
      <c r="E163" t="s">
        <v>2012</v>
      </c>
      <c r="F163" t="s">
        <v>2017</v>
      </c>
      <c r="G163" t="s">
        <v>2018</v>
      </c>
      <c r="H163" t="s">
        <v>2023</v>
      </c>
      <c r="I163">
        <v>72</v>
      </c>
      <c r="J163" t="s">
        <v>2033</v>
      </c>
      <c r="K163" t="s">
        <v>2035</v>
      </c>
    </row>
    <row r="164" spans="1:11" x14ac:dyDescent="0.3">
      <c r="A164" s="6" t="s">
        <v>173</v>
      </c>
      <c r="B164" t="s">
        <v>1173</v>
      </c>
      <c r="C164" t="s">
        <v>2007</v>
      </c>
      <c r="D164">
        <v>16</v>
      </c>
      <c r="E164" t="s">
        <v>2011</v>
      </c>
      <c r="F164" t="s">
        <v>2017</v>
      </c>
      <c r="G164" t="s">
        <v>2019</v>
      </c>
      <c r="H164" t="s">
        <v>2023</v>
      </c>
      <c r="I164">
        <v>28</v>
      </c>
      <c r="J164" t="s">
        <v>2027</v>
      </c>
      <c r="K164" t="s">
        <v>2036</v>
      </c>
    </row>
    <row r="165" spans="1:11" x14ac:dyDescent="0.3">
      <c r="A165" s="6" t="s">
        <v>174</v>
      </c>
      <c r="B165" t="s">
        <v>1174</v>
      </c>
      <c r="C165" t="s">
        <v>2007</v>
      </c>
      <c r="D165">
        <v>17</v>
      </c>
      <c r="E165" t="s">
        <v>2010</v>
      </c>
      <c r="F165" t="s">
        <v>2016</v>
      </c>
      <c r="G165" t="s">
        <v>2019</v>
      </c>
      <c r="H165" t="s">
        <v>2024</v>
      </c>
      <c r="I165">
        <v>50</v>
      </c>
      <c r="J165" t="s">
        <v>2028</v>
      </c>
      <c r="K165" t="s">
        <v>2035</v>
      </c>
    </row>
    <row r="166" spans="1:11" x14ac:dyDescent="0.3">
      <c r="A166" s="6" t="s">
        <v>175</v>
      </c>
      <c r="B166" t="s">
        <v>1175</v>
      </c>
      <c r="C166" t="s">
        <v>2008</v>
      </c>
      <c r="D166">
        <v>14</v>
      </c>
      <c r="E166" t="s">
        <v>2010</v>
      </c>
      <c r="F166" t="s">
        <v>2015</v>
      </c>
      <c r="G166" t="s">
        <v>2020</v>
      </c>
      <c r="H166" t="s">
        <v>2023</v>
      </c>
      <c r="I166">
        <v>99</v>
      </c>
      <c r="J166" t="s">
        <v>2034</v>
      </c>
      <c r="K166" t="s">
        <v>2035</v>
      </c>
    </row>
    <row r="167" spans="1:11" x14ac:dyDescent="0.3">
      <c r="A167" s="6" t="s">
        <v>176</v>
      </c>
      <c r="B167" t="s">
        <v>1176</v>
      </c>
      <c r="C167" t="s">
        <v>2007</v>
      </c>
      <c r="D167">
        <v>17</v>
      </c>
      <c r="E167" t="s">
        <v>2011</v>
      </c>
      <c r="F167" t="s">
        <v>2015</v>
      </c>
      <c r="G167" t="s">
        <v>2018</v>
      </c>
      <c r="H167" t="s">
        <v>2024</v>
      </c>
      <c r="I167">
        <v>18</v>
      </c>
      <c r="J167" t="s">
        <v>2027</v>
      </c>
      <c r="K167" t="s">
        <v>2036</v>
      </c>
    </row>
    <row r="168" spans="1:11" x14ac:dyDescent="0.3">
      <c r="A168" s="6" t="s">
        <v>177</v>
      </c>
      <c r="B168" t="s">
        <v>1177</v>
      </c>
      <c r="C168" t="s">
        <v>2008</v>
      </c>
      <c r="D168">
        <v>17</v>
      </c>
      <c r="E168" t="s">
        <v>2012</v>
      </c>
      <c r="F168" t="s">
        <v>2015</v>
      </c>
      <c r="G168" t="s">
        <v>2022</v>
      </c>
      <c r="H168" t="s">
        <v>2024</v>
      </c>
      <c r="I168">
        <v>47</v>
      </c>
      <c r="J168" t="s">
        <v>2026</v>
      </c>
      <c r="K168" t="s">
        <v>2036</v>
      </c>
    </row>
    <row r="169" spans="1:11" x14ac:dyDescent="0.3">
      <c r="A169" s="6" t="s">
        <v>178</v>
      </c>
      <c r="B169" t="s">
        <v>1178</v>
      </c>
      <c r="C169" t="s">
        <v>2008</v>
      </c>
      <c r="D169">
        <v>17</v>
      </c>
      <c r="E169" t="s">
        <v>2011</v>
      </c>
      <c r="F169" t="s">
        <v>2015</v>
      </c>
      <c r="G169" t="s">
        <v>2021</v>
      </c>
      <c r="H169" t="s">
        <v>2023</v>
      </c>
      <c r="I169">
        <v>6</v>
      </c>
      <c r="J169" t="s">
        <v>2028</v>
      </c>
      <c r="K169" t="s">
        <v>2036</v>
      </c>
    </row>
    <row r="170" spans="1:11" x14ac:dyDescent="0.3">
      <c r="A170" s="6" t="s">
        <v>179</v>
      </c>
      <c r="B170" t="s">
        <v>1179</v>
      </c>
      <c r="C170" t="s">
        <v>2008</v>
      </c>
      <c r="D170">
        <v>18</v>
      </c>
      <c r="E170" t="s">
        <v>2011</v>
      </c>
      <c r="F170" t="s">
        <v>2016</v>
      </c>
      <c r="G170" t="s">
        <v>2020</v>
      </c>
      <c r="H170" t="s">
        <v>2024</v>
      </c>
      <c r="I170">
        <v>70</v>
      </c>
      <c r="J170" t="s">
        <v>2025</v>
      </c>
      <c r="K170" t="s">
        <v>2035</v>
      </c>
    </row>
    <row r="171" spans="1:11" x14ac:dyDescent="0.3">
      <c r="A171" s="6" t="s">
        <v>180</v>
      </c>
      <c r="B171" t="s">
        <v>1180</v>
      </c>
      <c r="C171" t="s">
        <v>2007</v>
      </c>
      <c r="D171">
        <v>15</v>
      </c>
      <c r="E171" t="s">
        <v>2009</v>
      </c>
      <c r="F171" t="s">
        <v>2017</v>
      </c>
      <c r="G171" t="s">
        <v>2020</v>
      </c>
      <c r="H171" t="s">
        <v>2024</v>
      </c>
      <c r="I171">
        <v>8</v>
      </c>
      <c r="J171" t="s">
        <v>2025</v>
      </c>
      <c r="K171" t="s">
        <v>2036</v>
      </c>
    </row>
    <row r="172" spans="1:11" x14ac:dyDescent="0.3">
      <c r="A172" s="6" t="s">
        <v>181</v>
      </c>
      <c r="B172" t="s">
        <v>1181</v>
      </c>
      <c r="C172" t="s">
        <v>2007</v>
      </c>
      <c r="D172">
        <v>16</v>
      </c>
      <c r="E172" t="s">
        <v>2012</v>
      </c>
      <c r="F172" t="s">
        <v>2017</v>
      </c>
      <c r="G172" t="s">
        <v>2019</v>
      </c>
      <c r="H172" t="s">
        <v>2023</v>
      </c>
      <c r="I172">
        <v>14</v>
      </c>
      <c r="J172" t="s">
        <v>2029</v>
      </c>
      <c r="K172" t="s">
        <v>2036</v>
      </c>
    </row>
    <row r="173" spans="1:11" x14ac:dyDescent="0.3">
      <c r="A173" s="6" t="s">
        <v>182</v>
      </c>
      <c r="B173" t="s">
        <v>1182</v>
      </c>
      <c r="C173" t="s">
        <v>2008</v>
      </c>
      <c r="D173">
        <v>15</v>
      </c>
      <c r="E173" t="s">
        <v>2010</v>
      </c>
      <c r="F173" t="s">
        <v>2015</v>
      </c>
      <c r="G173" t="s">
        <v>2021</v>
      </c>
      <c r="H173" t="s">
        <v>2023</v>
      </c>
      <c r="I173">
        <v>52</v>
      </c>
      <c r="J173" t="s">
        <v>2025</v>
      </c>
      <c r="K173" t="s">
        <v>2035</v>
      </c>
    </row>
    <row r="174" spans="1:11" x14ac:dyDescent="0.3">
      <c r="A174" s="6" t="s">
        <v>183</v>
      </c>
      <c r="B174" t="s">
        <v>1183</v>
      </c>
      <c r="C174" t="s">
        <v>2008</v>
      </c>
      <c r="D174">
        <v>17</v>
      </c>
      <c r="E174" t="s">
        <v>2012</v>
      </c>
      <c r="F174" t="s">
        <v>2015</v>
      </c>
      <c r="G174" t="s">
        <v>2021</v>
      </c>
      <c r="H174" t="s">
        <v>2023</v>
      </c>
      <c r="I174">
        <v>56</v>
      </c>
      <c r="J174" t="s">
        <v>2031</v>
      </c>
      <c r="K174" t="s">
        <v>2035</v>
      </c>
    </row>
    <row r="175" spans="1:11" x14ac:dyDescent="0.3">
      <c r="A175" s="6" t="s">
        <v>184</v>
      </c>
      <c r="B175" t="s">
        <v>1184</v>
      </c>
      <c r="C175" t="s">
        <v>2008</v>
      </c>
      <c r="D175">
        <v>16</v>
      </c>
      <c r="E175" t="s">
        <v>2009</v>
      </c>
      <c r="F175" t="s">
        <v>2017</v>
      </c>
      <c r="G175" t="s">
        <v>2020</v>
      </c>
      <c r="H175" t="s">
        <v>2024</v>
      </c>
      <c r="I175">
        <v>50</v>
      </c>
      <c r="J175" t="s">
        <v>2031</v>
      </c>
      <c r="K175" t="s">
        <v>2035</v>
      </c>
    </row>
    <row r="176" spans="1:11" x14ac:dyDescent="0.3">
      <c r="A176" s="6" t="s">
        <v>185</v>
      </c>
      <c r="B176" t="s">
        <v>1185</v>
      </c>
      <c r="C176" t="s">
        <v>2008</v>
      </c>
      <c r="D176">
        <v>16</v>
      </c>
      <c r="E176" t="s">
        <v>2009</v>
      </c>
      <c r="F176" t="s">
        <v>2015</v>
      </c>
      <c r="G176" t="s">
        <v>2019</v>
      </c>
      <c r="H176" t="s">
        <v>2023</v>
      </c>
      <c r="I176">
        <v>9</v>
      </c>
      <c r="J176" t="s">
        <v>2025</v>
      </c>
      <c r="K176" t="s">
        <v>2036</v>
      </c>
    </row>
    <row r="177" spans="1:11" x14ac:dyDescent="0.3">
      <c r="A177" s="6" t="s">
        <v>186</v>
      </c>
      <c r="B177" t="s">
        <v>1186</v>
      </c>
      <c r="C177" t="s">
        <v>2007</v>
      </c>
      <c r="D177">
        <v>18</v>
      </c>
      <c r="E177" t="s">
        <v>2009</v>
      </c>
      <c r="F177" t="s">
        <v>2015</v>
      </c>
      <c r="G177" t="s">
        <v>2022</v>
      </c>
      <c r="H177" t="s">
        <v>2023</v>
      </c>
      <c r="I177">
        <v>23</v>
      </c>
      <c r="J177" t="s">
        <v>2028</v>
      </c>
      <c r="K177" t="s">
        <v>2036</v>
      </c>
    </row>
    <row r="178" spans="1:11" x14ac:dyDescent="0.3">
      <c r="A178" s="6" t="s">
        <v>187</v>
      </c>
      <c r="B178" t="s">
        <v>1187</v>
      </c>
      <c r="C178" t="s">
        <v>2007</v>
      </c>
      <c r="D178">
        <v>18</v>
      </c>
      <c r="E178" t="s">
        <v>2011</v>
      </c>
      <c r="F178" t="s">
        <v>2016</v>
      </c>
      <c r="G178" t="s">
        <v>2021</v>
      </c>
      <c r="H178" t="s">
        <v>2024</v>
      </c>
      <c r="I178">
        <v>18</v>
      </c>
      <c r="J178" t="s">
        <v>2031</v>
      </c>
      <c r="K178" t="s">
        <v>2036</v>
      </c>
    </row>
    <row r="179" spans="1:11" x14ac:dyDescent="0.3">
      <c r="A179" s="6" t="s">
        <v>188</v>
      </c>
      <c r="B179" t="s">
        <v>1188</v>
      </c>
      <c r="C179" t="s">
        <v>2007</v>
      </c>
      <c r="D179">
        <v>18</v>
      </c>
      <c r="E179" t="s">
        <v>2011</v>
      </c>
      <c r="F179" t="s">
        <v>2014</v>
      </c>
      <c r="G179" t="s">
        <v>2019</v>
      </c>
      <c r="H179" t="s">
        <v>2024</v>
      </c>
      <c r="I179">
        <v>3</v>
      </c>
      <c r="J179" t="s">
        <v>2026</v>
      </c>
      <c r="K179" t="s">
        <v>2036</v>
      </c>
    </row>
    <row r="180" spans="1:11" x14ac:dyDescent="0.3">
      <c r="A180" s="6" t="s">
        <v>189</v>
      </c>
      <c r="B180" t="s">
        <v>1189</v>
      </c>
      <c r="C180" t="s">
        <v>2008</v>
      </c>
      <c r="D180">
        <v>15</v>
      </c>
      <c r="E180" t="s">
        <v>2013</v>
      </c>
      <c r="F180" t="s">
        <v>2014</v>
      </c>
      <c r="G180" t="s">
        <v>2021</v>
      </c>
      <c r="H180" t="s">
        <v>2024</v>
      </c>
      <c r="I180">
        <v>35</v>
      </c>
      <c r="J180" t="s">
        <v>2028</v>
      </c>
      <c r="K180" t="s">
        <v>2036</v>
      </c>
    </row>
    <row r="181" spans="1:11" x14ac:dyDescent="0.3">
      <c r="A181" s="6" t="s">
        <v>190</v>
      </c>
      <c r="B181" t="s">
        <v>1190</v>
      </c>
      <c r="C181" t="s">
        <v>2008</v>
      </c>
      <c r="D181">
        <v>14</v>
      </c>
      <c r="E181" t="s">
        <v>2010</v>
      </c>
      <c r="F181" t="s">
        <v>2017</v>
      </c>
      <c r="G181" t="s">
        <v>2021</v>
      </c>
      <c r="H181" t="s">
        <v>2023</v>
      </c>
      <c r="I181">
        <v>77</v>
      </c>
      <c r="J181" t="s">
        <v>2030</v>
      </c>
      <c r="K181" t="s">
        <v>2035</v>
      </c>
    </row>
    <row r="182" spans="1:11" x14ac:dyDescent="0.3">
      <c r="A182" s="6" t="s">
        <v>191</v>
      </c>
      <c r="B182" t="s">
        <v>1191</v>
      </c>
      <c r="C182" t="s">
        <v>2007</v>
      </c>
      <c r="D182">
        <v>16</v>
      </c>
      <c r="E182" t="s">
        <v>2013</v>
      </c>
      <c r="F182" t="s">
        <v>2014</v>
      </c>
      <c r="G182" t="s">
        <v>2018</v>
      </c>
      <c r="H182" t="s">
        <v>2024</v>
      </c>
      <c r="I182">
        <v>86</v>
      </c>
      <c r="J182" t="s">
        <v>2028</v>
      </c>
      <c r="K182" t="s">
        <v>2035</v>
      </c>
    </row>
    <row r="183" spans="1:11" x14ac:dyDescent="0.3">
      <c r="A183" s="6" t="s">
        <v>192</v>
      </c>
      <c r="B183" t="s">
        <v>1192</v>
      </c>
      <c r="C183" t="s">
        <v>2007</v>
      </c>
      <c r="D183">
        <v>16</v>
      </c>
      <c r="E183" t="s">
        <v>2012</v>
      </c>
      <c r="F183" t="s">
        <v>2017</v>
      </c>
      <c r="G183" t="s">
        <v>2020</v>
      </c>
      <c r="H183" t="s">
        <v>2024</v>
      </c>
      <c r="I183">
        <v>92</v>
      </c>
      <c r="J183" t="s">
        <v>2030</v>
      </c>
      <c r="K183" t="s">
        <v>2035</v>
      </c>
    </row>
    <row r="184" spans="1:11" x14ac:dyDescent="0.3">
      <c r="A184" s="6" t="s">
        <v>193</v>
      </c>
      <c r="B184" t="s">
        <v>1193</v>
      </c>
      <c r="C184" t="s">
        <v>2008</v>
      </c>
      <c r="D184">
        <v>16</v>
      </c>
      <c r="E184" t="s">
        <v>2010</v>
      </c>
      <c r="F184" t="s">
        <v>2014</v>
      </c>
      <c r="G184" t="s">
        <v>2019</v>
      </c>
      <c r="H184" t="s">
        <v>2023</v>
      </c>
      <c r="I184">
        <v>32</v>
      </c>
      <c r="J184" t="s">
        <v>2030</v>
      </c>
      <c r="K184" t="s">
        <v>2036</v>
      </c>
    </row>
    <row r="185" spans="1:11" x14ac:dyDescent="0.3">
      <c r="A185" s="6" t="s">
        <v>194</v>
      </c>
      <c r="B185" t="s">
        <v>1194</v>
      </c>
      <c r="C185" t="s">
        <v>2007</v>
      </c>
      <c r="D185">
        <v>16</v>
      </c>
      <c r="E185" t="s">
        <v>2013</v>
      </c>
      <c r="F185" t="s">
        <v>2015</v>
      </c>
      <c r="G185" t="s">
        <v>2020</v>
      </c>
      <c r="H185" t="s">
        <v>2023</v>
      </c>
      <c r="I185">
        <v>98</v>
      </c>
      <c r="J185" t="s">
        <v>2025</v>
      </c>
      <c r="K185" t="s">
        <v>2035</v>
      </c>
    </row>
    <row r="186" spans="1:11" x14ac:dyDescent="0.3">
      <c r="A186" s="6" t="s">
        <v>195</v>
      </c>
      <c r="B186" t="s">
        <v>1195</v>
      </c>
      <c r="C186" t="s">
        <v>2007</v>
      </c>
      <c r="D186">
        <v>14</v>
      </c>
      <c r="E186" t="s">
        <v>2009</v>
      </c>
      <c r="F186" t="s">
        <v>2015</v>
      </c>
      <c r="G186" t="s">
        <v>2021</v>
      </c>
      <c r="H186" t="s">
        <v>2024</v>
      </c>
      <c r="I186">
        <v>18</v>
      </c>
      <c r="J186" t="s">
        <v>2028</v>
      </c>
      <c r="K186" t="s">
        <v>2036</v>
      </c>
    </row>
    <row r="187" spans="1:11" x14ac:dyDescent="0.3">
      <c r="A187" s="6" t="s">
        <v>196</v>
      </c>
      <c r="B187" t="s">
        <v>1196</v>
      </c>
      <c r="C187" t="s">
        <v>2008</v>
      </c>
      <c r="D187">
        <v>18</v>
      </c>
      <c r="E187" t="s">
        <v>2013</v>
      </c>
      <c r="F187" t="s">
        <v>2014</v>
      </c>
      <c r="G187" t="s">
        <v>2018</v>
      </c>
      <c r="H187" t="s">
        <v>2023</v>
      </c>
      <c r="I187">
        <v>26</v>
      </c>
      <c r="J187" t="s">
        <v>2031</v>
      </c>
      <c r="K187" t="s">
        <v>2036</v>
      </c>
    </row>
    <row r="188" spans="1:11" x14ac:dyDescent="0.3">
      <c r="A188" s="6" t="s">
        <v>197</v>
      </c>
      <c r="B188" t="s">
        <v>1197</v>
      </c>
      <c r="C188" t="s">
        <v>2008</v>
      </c>
      <c r="D188">
        <v>15</v>
      </c>
      <c r="E188" t="s">
        <v>2010</v>
      </c>
      <c r="F188" t="s">
        <v>2017</v>
      </c>
      <c r="G188" t="s">
        <v>2018</v>
      </c>
      <c r="H188" t="s">
        <v>2023</v>
      </c>
      <c r="I188">
        <v>3</v>
      </c>
      <c r="J188" t="s">
        <v>2025</v>
      </c>
      <c r="K188" t="s">
        <v>2036</v>
      </c>
    </row>
    <row r="189" spans="1:11" x14ac:dyDescent="0.3">
      <c r="A189" s="6" t="s">
        <v>198</v>
      </c>
      <c r="B189" t="s">
        <v>1198</v>
      </c>
      <c r="C189" t="s">
        <v>2008</v>
      </c>
      <c r="D189">
        <v>16</v>
      </c>
      <c r="E189" t="s">
        <v>2010</v>
      </c>
      <c r="F189" t="s">
        <v>2014</v>
      </c>
      <c r="G189" t="s">
        <v>2020</v>
      </c>
      <c r="H189" t="s">
        <v>2024</v>
      </c>
      <c r="I189">
        <v>54</v>
      </c>
      <c r="J189" t="s">
        <v>2026</v>
      </c>
      <c r="K189" t="s">
        <v>2035</v>
      </c>
    </row>
    <row r="190" spans="1:11" x14ac:dyDescent="0.3">
      <c r="A190" s="6" t="s">
        <v>199</v>
      </c>
      <c r="B190" t="s">
        <v>1199</v>
      </c>
      <c r="C190" t="s">
        <v>2007</v>
      </c>
      <c r="D190">
        <v>18</v>
      </c>
      <c r="E190" t="s">
        <v>2011</v>
      </c>
      <c r="F190" t="s">
        <v>2015</v>
      </c>
      <c r="G190" t="s">
        <v>2019</v>
      </c>
      <c r="H190" t="s">
        <v>2023</v>
      </c>
      <c r="I190">
        <v>79</v>
      </c>
      <c r="J190" t="s">
        <v>2032</v>
      </c>
      <c r="K190" t="s">
        <v>2035</v>
      </c>
    </row>
    <row r="191" spans="1:11" x14ac:dyDescent="0.3">
      <c r="A191" s="6" t="s">
        <v>200</v>
      </c>
      <c r="B191" t="s">
        <v>1200</v>
      </c>
      <c r="C191" t="s">
        <v>2007</v>
      </c>
      <c r="D191">
        <v>16</v>
      </c>
      <c r="E191" t="s">
        <v>2012</v>
      </c>
      <c r="F191" t="s">
        <v>2016</v>
      </c>
      <c r="G191" t="s">
        <v>2022</v>
      </c>
      <c r="H191" t="s">
        <v>2024</v>
      </c>
      <c r="I191">
        <v>67</v>
      </c>
      <c r="J191" t="s">
        <v>2028</v>
      </c>
      <c r="K191" t="s">
        <v>2035</v>
      </c>
    </row>
    <row r="192" spans="1:11" x14ac:dyDescent="0.3">
      <c r="A192" s="6" t="s">
        <v>201</v>
      </c>
      <c r="B192" t="s">
        <v>1120</v>
      </c>
      <c r="C192" t="s">
        <v>2008</v>
      </c>
      <c r="D192">
        <v>14</v>
      </c>
      <c r="E192" t="s">
        <v>2011</v>
      </c>
      <c r="F192" t="s">
        <v>2017</v>
      </c>
      <c r="G192" t="s">
        <v>2018</v>
      </c>
      <c r="H192" t="s">
        <v>2024</v>
      </c>
      <c r="I192">
        <v>54</v>
      </c>
      <c r="J192" t="s">
        <v>2028</v>
      </c>
      <c r="K192" t="s">
        <v>2035</v>
      </c>
    </row>
    <row r="193" spans="1:11" x14ac:dyDescent="0.3">
      <c r="A193" s="6" t="s">
        <v>202</v>
      </c>
      <c r="B193" t="s">
        <v>1201</v>
      </c>
      <c r="C193" t="s">
        <v>2007</v>
      </c>
      <c r="D193">
        <v>18</v>
      </c>
      <c r="E193" t="s">
        <v>2009</v>
      </c>
      <c r="F193" t="s">
        <v>2014</v>
      </c>
      <c r="G193" t="s">
        <v>2019</v>
      </c>
      <c r="H193" t="s">
        <v>2023</v>
      </c>
      <c r="I193">
        <v>2</v>
      </c>
      <c r="J193" t="s">
        <v>2030</v>
      </c>
      <c r="K193" t="s">
        <v>2036</v>
      </c>
    </row>
    <row r="194" spans="1:11" x14ac:dyDescent="0.3">
      <c r="A194" s="6" t="s">
        <v>203</v>
      </c>
      <c r="B194" t="s">
        <v>1202</v>
      </c>
      <c r="C194" t="s">
        <v>2008</v>
      </c>
      <c r="D194">
        <v>14</v>
      </c>
      <c r="E194" t="s">
        <v>2011</v>
      </c>
      <c r="F194" t="s">
        <v>2017</v>
      </c>
      <c r="G194" t="s">
        <v>2021</v>
      </c>
      <c r="H194" t="s">
        <v>2023</v>
      </c>
      <c r="I194">
        <v>33</v>
      </c>
      <c r="J194" t="s">
        <v>2034</v>
      </c>
      <c r="K194" t="s">
        <v>2036</v>
      </c>
    </row>
    <row r="195" spans="1:11" x14ac:dyDescent="0.3">
      <c r="A195" s="6" t="s">
        <v>204</v>
      </c>
      <c r="B195" t="s">
        <v>1203</v>
      </c>
      <c r="C195" t="s">
        <v>2008</v>
      </c>
      <c r="D195">
        <v>16</v>
      </c>
      <c r="E195" t="s">
        <v>2009</v>
      </c>
      <c r="F195" t="s">
        <v>2016</v>
      </c>
      <c r="G195" t="s">
        <v>2018</v>
      </c>
      <c r="H195" t="s">
        <v>2024</v>
      </c>
      <c r="I195">
        <v>51</v>
      </c>
      <c r="J195" t="s">
        <v>2030</v>
      </c>
      <c r="K195" t="s">
        <v>2035</v>
      </c>
    </row>
    <row r="196" spans="1:11" x14ac:dyDescent="0.3">
      <c r="A196" s="6" t="s">
        <v>205</v>
      </c>
      <c r="B196" t="s">
        <v>1204</v>
      </c>
      <c r="C196" t="s">
        <v>2007</v>
      </c>
      <c r="D196">
        <v>17</v>
      </c>
      <c r="E196" t="s">
        <v>2010</v>
      </c>
      <c r="F196" t="s">
        <v>2014</v>
      </c>
      <c r="G196" t="s">
        <v>2022</v>
      </c>
      <c r="H196" t="s">
        <v>2024</v>
      </c>
      <c r="I196">
        <v>7</v>
      </c>
      <c r="J196" t="s">
        <v>2031</v>
      </c>
      <c r="K196" t="s">
        <v>2036</v>
      </c>
    </row>
    <row r="197" spans="1:11" x14ac:dyDescent="0.3">
      <c r="A197" s="6" t="s">
        <v>206</v>
      </c>
      <c r="B197" t="s">
        <v>1205</v>
      </c>
      <c r="C197" t="s">
        <v>2007</v>
      </c>
      <c r="D197">
        <v>15</v>
      </c>
      <c r="E197" t="s">
        <v>2010</v>
      </c>
      <c r="F197" t="s">
        <v>2016</v>
      </c>
      <c r="G197" t="s">
        <v>2022</v>
      </c>
      <c r="H197" t="s">
        <v>2024</v>
      </c>
      <c r="I197">
        <v>74</v>
      </c>
      <c r="J197" t="s">
        <v>2033</v>
      </c>
      <c r="K197" t="s">
        <v>2035</v>
      </c>
    </row>
    <row r="198" spans="1:11" x14ac:dyDescent="0.3">
      <c r="A198" s="6" t="s">
        <v>207</v>
      </c>
      <c r="B198" t="s">
        <v>1206</v>
      </c>
      <c r="C198" t="s">
        <v>2007</v>
      </c>
      <c r="D198">
        <v>16</v>
      </c>
      <c r="E198" t="s">
        <v>2010</v>
      </c>
      <c r="F198" t="s">
        <v>2015</v>
      </c>
      <c r="G198" t="s">
        <v>2021</v>
      </c>
      <c r="H198" t="s">
        <v>2023</v>
      </c>
      <c r="I198">
        <v>14</v>
      </c>
      <c r="J198" t="s">
        <v>2028</v>
      </c>
      <c r="K198" t="s">
        <v>2036</v>
      </c>
    </row>
    <row r="199" spans="1:11" x14ac:dyDescent="0.3">
      <c r="A199" s="6" t="s">
        <v>208</v>
      </c>
      <c r="B199" t="s">
        <v>1207</v>
      </c>
      <c r="C199" t="s">
        <v>2007</v>
      </c>
      <c r="D199">
        <v>16</v>
      </c>
      <c r="E199" t="s">
        <v>2012</v>
      </c>
      <c r="F199" t="s">
        <v>2017</v>
      </c>
      <c r="G199" t="s">
        <v>2022</v>
      </c>
      <c r="H199" t="s">
        <v>2023</v>
      </c>
      <c r="I199">
        <v>45</v>
      </c>
      <c r="J199" t="s">
        <v>2033</v>
      </c>
      <c r="K199" t="s">
        <v>2036</v>
      </c>
    </row>
    <row r="200" spans="1:11" x14ac:dyDescent="0.3">
      <c r="A200" s="6" t="s">
        <v>209</v>
      </c>
      <c r="B200" t="s">
        <v>1208</v>
      </c>
      <c r="C200" t="s">
        <v>2007</v>
      </c>
      <c r="D200">
        <v>18</v>
      </c>
      <c r="E200" t="s">
        <v>2010</v>
      </c>
      <c r="F200" t="s">
        <v>2015</v>
      </c>
      <c r="G200" t="s">
        <v>2019</v>
      </c>
      <c r="H200" t="s">
        <v>2024</v>
      </c>
      <c r="I200">
        <v>9</v>
      </c>
      <c r="J200" t="s">
        <v>2025</v>
      </c>
      <c r="K200" t="s">
        <v>2036</v>
      </c>
    </row>
    <row r="201" spans="1:11" x14ac:dyDescent="0.3">
      <c r="A201" s="6" t="s">
        <v>210</v>
      </c>
      <c r="B201" t="s">
        <v>1209</v>
      </c>
      <c r="C201" t="s">
        <v>2007</v>
      </c>
      <c r="D201">
        <v>17</v>
      </c>
      <c r="E201" t="s">
        <v>2013</v>
      </c>
      <c r="F201" t="s">
        <v>2014</v>
      </c>
      <c r="G201" t="s">
        <v>2018</v>
      </c>
      <c r="H201" t="s">
        <v>2023</v>
      </c>
      <c r="I201">
        <v>61</v>
      </c>
      <c r="J201" t="s">
        <v>2033</v>
      </c>
      <c r="K201" t="s">
        <v>2035</v>
      </c>
    </row>
    <row r="202" spans="1:11" x14ac:dyDescent="0.3">
      <c r="A202" s="6" t="s">
        <v>211</v>
      </c>
      <c r="B202" t="s">
        <v>1210</v>
      </c>
      <c r="C202" t="s">
        <v>2007</v>
      </c>
      <c r="D202">
        <v>18</v>
      </c>
      <c r="E202" t="s">
        <v>2013</v>
      </c>
      <c r="F202" t="s">
        <v>2015</v>
      </c>
      <c r="G202" t="s">
        <v>2020</v>
      </c>
      <c r="H202" t="s">
        <v>2023</v>
      </c>
      <c r="I202">
        <v>13</v>
      </c>
      <c r="J202" t="s">
        <v>2025</v>
      </c>
      <c r="K202" t="s">
        <v>2036</v>
      </c>
    </row>
    <row r="203" spans="1:11" x14ac:dyDescent="0.3">
      <c r="A203" s="6" t="s">
        <v>212</v>
      </c>
      <c r="B203" t="s">
        <v>1211</v>
      </c>
      <c r="C203" t="s">
        <v>2008</v>
      </c>
      <c r="D203">
        <v>18</v>
      </c>
      <c r="E203" t="s">
        <v>2012</v>
      </c>
      <c r="F203" t="s">
        <v>2017</v>
      </c>
      <c r="G203" t="s">
        <v>2018</v>
      </c>
      <c r="H203" t="s">
        <v>2023</v>
      </c>
      <c r="I203">
        <v>66</v>
      </c>
      <c r="J203" t="s">
        <v>2034</v>
      </c>
      <c r="K203" t="s">
        <v>2035</v>
      </c>
    </row>
    <row r="204" spans="1:11" x14ac:dyDescent="0.3">
      <c r="A204" s="6" t="s">
        <v>213</v>
      </c>
      <c r="B204" t="s">
        <v>1212</v>
      </c>
      <c r="C204" t="s">
        <v>2007</v>
      </c>
      <c r="D204">
        <v>17</v>
      </c>
      <c r="E204" t="s">
        <v>2011</v>
      </c>
      <c r="F204" t="s">
        <v>2016</v>
      </c>
      <c r="G204" t="s">
        <v>2018</v>
      </c>
      <c r="H204" t="s">
        <v>2023</v>
      </c>
      <c r="I204">
        <v>87</v>
      </c>
      <c r="J204" t="s">
        <v>2030</v>
      </c>
      <c r="K204" t="s">
        <v>2035</v>
      </c>
    </row>
    <row r="205" spans="1:11" x14ac:dyDescent="0.3">
      <c r="A205" s="6" t="s">
        <v>214</v>
      </c>
      <c r="B205" t="s">
        <v>1213</v>
      </c>
      <c r="C205" t="s">
        <v>2007</v>
      </c>
      <c r="D205">
        <v>16</v>
      </c>
      <c r="E205" t="s">
        <v>2013</v>
      </c>
      <c r="F205" t="s">
        <v>2016</v>
      </c>
      <c r="G205" t="s">
        <v>2018</v>
      </c>
      <c r="H205" t="s">
        <v>2023</v>
      </c>
      <c r="I205">
        <v>15</v>
      </c>
      <c r="J205" t="s">
        <v>2027</v>
      </c>
      <c r="K205" t="s">
        <v>2036</v>
      </c>
    </row>
    <row r="206" spans="1:11" x14ac:dyDescent="0.3">
      <c r="A206" s="6" t="s">
        <v>215</v>
      </c>
      <c r="B206" t="s">
        <v>1214</v>
      </c>
      <c r="C206" t="s">
        <v>2008</v>
      </c>
      <c r="D206">
        <v>14</v>
      </c>
      <c r="E206" t="s">
        <v>2012</v>
      </c>
      <c r="F206" t="s">
        <v>2017</v>
      </c>
      <c r="G206" t="s">
        <v>2021</v>
      </c>
      <c r="H206" t="s">
        <v>2023</v>
      </c>
      <c r="I206">
        <v>80</v>
      </c>
      <c r="J206" t="s">
        <v>2030</v>
      </c>
      <c r="K206" t="s">
        <v>2035</v>
      </c>
    </row>
    <row r="207" spans="1:11" x14ac:dyDescent="0.3">
      <c r="A207" s="6" t="s">
        <v>216</v>
      </c>
      <c r="B207" t="s">
        <v>1215</v>
      </c>
      <c r="C207" t="s">
        <v>2007</v>
      </c>
      <c r="D207">
        <v>17</v>
      </c>
      <c r="E207" t="s">
        <v>2011</v>
      </c>
      <c r="F207" t="s">
        <v>2016</v>
      </c>
      <c r="G207" t="s">
        <v>2022</v>
      </c>
      <c r="H207" t="s">
        <v>2023</v>
      </c>
      <c r="I207">
        <v>43</v>
      </c>
      <c r="J207" t="s">
        <v>2034</v>
      </c>
      <c r="K207" t="s">
        <v>2036</v>
      </c>
    </row>
    <row r="208" spans="1:11" x14ac:dyDescent="0.3">
      <c r="A208" s="6" t="s">
        <v>217</v>
      </c>
      <c r="B208" t="s">
        <v>1216</v>
      </c>
      <c r="C208" t="s">
        <v>2008</v>
      </c>
      <c r="D208">
        <v>16</v>
      </c>
      <c r="E208" t="s">
        <v>2011</v>
      </c>
      <c r="F208" t="s">
        <v>2017</v>
      </c>
      <c r="G208" t="s">
        <v>2020</v>
      </c>
      <c r="H208" t="s">
        <v>2023</v>
      </c>
      <c r="I208">
        <v>93</v>
      </c>
      <c r="J208" t="s">
        <v>2031</v>
      </c>
      <c r="K208" t="s">
        <v>2035</v>
      </c>
    </row>
    <row r="209" spans="1:11" x14ac:dyDescent="0.3">
      <c r="A209" s="6" t="s">
        <v>218</v>
      </c>
      <c r="B209" t="s">
        <v>1217</v>
      </c>
      <c r="C209" t="s">
        <v>2008</v>
      </c>
      <c r="D209">
        <v>18</v>
      </c>
      <c r="E209" t="s">
        <v>2011</v>
      </c>
      <c r="F209" t="s">
        <v>2016</v>
      </c>
      <c r="G209" t="s">
        <v>2021</v>
      </c>
      <c r="H209" t="s">
        <v>2024</v>
      </c>
      <c r="I209">
        <v>5</v>
      </c>
      <c r="J209" t="s">
        <v>2031</v>
      </c>
      <c r="K209" t="s">
        <v>2036</v>
      </c>
    </row>
    <row r="210" spans="1:11" x14ac:dyDescent="0.3">
      <c r="A210" s="6" t="s">
        <v>219</v>
      </c>
      <c r="B210" t="s">
        <v>1218</v>
      </c>
      <c r="C210" t="s">
        <v>2007</v>
      </c>
      <c r="D210">
        <v>15</v>
      </c>
      <c r="E210" t="s">
        <v>2013</v>
      </c>
      <c r="F210" t="s">
        <v>2017</v>
      </c>
      <c r="G210" t="s">
        <v>2019</v>
      </c>
      <c r="H210" t="s">
        <v>2024</v>
      </c>
      <c r="I210">
        <v>74</v>
      </c>
      <c r="J210" t="s">
        <v>2033</v>
      </c>
      <c r="K210" t="s">
        <v>2035</v>
      </c>
    </row>
    <row r="211" spans="1:11" x14ac:dyDescent="0.3">
      <c r="A211" s="6" t="s">
        <v>220</v>
      </c>
      <c r="B211" t="s">
        <v>1219</v>
      </c>
      <c r="C211" t="s">
        <v>2007</v>
      </c>
      <c r="D211">
        <v>18</v>
      </c>
      <c r="E211" t="s">
        <v>2011</v>
      </c>
      <c r="F211" t="s">
        <v>2015</v>
      </c>
      <c r="G211" t="s">
        <v>2020</v>
      </c>
      <c r="H211" t="s">
        <v>2024</v>
      </c>
      <c r="I211">
        <v>95</v>
      </c>
      <c r="J211" t="s">
        <v>2025</v>
      </c>
      <c r="K211" t="s">
        <v>2035</v>
      </c>
    </row>
    <row r="212" spans="1:11" x14ac:dyDescent="0.3">
      <c r="A212" s="6" t="s">
        <v>221</v>
      </c>
      <c r="B212" t="s">
        <v>1220</v>
      </c>
      <c r="C212" t="s">
        <v>2008</v>
      </c>
      <c r="D212">
        <v>18</v>
      </c>
      <c r="E212" t="s">
        <v>2012</v>
      </c>
      <c r="F212" t="s">
        <v>2014</v>
      </c>
      <c r="G212" t="s">
        <v>2022</v>
      </c>
      <c r="H212" t="s">
        <v>2024</v>
      </c>
      <c r="I212">
        <v>85</v>
      </c>
      <c r="J212" t="s">
        <v>2034</v>
      </c>
      <c r="K212" t="s">
        <v>2035</v>
      </c>
    </row>
    <row r="213" spans="1:11" x14ac:dyDescent="0.3">
      <c r="A213" s="6" t="s">
        <v>222</v>
      </c>
      <c r="B213" t="s">
        <v>1221</v>
      </c>
      <c r="C213" t="s">
        <v>2008</v>
      </c>
      <c r="D213">
        <v>18</v>
      </c>
      <c r="E213" t="s">
        <v>2013</v>
      </c>
      <c r="F213" t="s">
        <v>2015</v>
      </c>
      <c r="G213" t="s">
        <v>2020</v>
      </c>
      <c r="H213" t="s">
        <v>2024</v>
      </c>
      <c r="I213">
        <v>12</v>
      </c>
      <c r="J213" t="s">
        <v>2033</v>
      </c>
      <c r="K213" t="s">
        <v>2036</v>
      </c>
    </row>
    <row r="214" spans="1:11" x14ac:dyDescent="0.3">
      <c r="A214" s="6" t="s">
        <v>223</v>
      </c>
      <c r="B214" t="s">
        <v>1222</v>
      </c>
      <c r="C214" t="s">
        <v>2008</v>
      </c>
      <c r="D214">
        <v>15</v>
      </c>
      <c r="E214" t="s">
        <v>2009</v>
      </c>
      <c r="F214" t="s">
        <v>2014</v>
      </c>
      <c r="G214" t="s">
        <v>2022</v>
      </c>
      <c r="H214" t="s">
        <v>2024</v>
      </c>
      <c r="I214">
        <v>30</v>
      </c>
      <c r="J214" t="s">
        <v>2032</v>
      </c>
      <c r="K214" t="s">
        <v>2036</v>
      </c>
    </row>
    <row r="215" spans="1:11" x14ac:dyDescent="0.3">
      <c r="A215" s="6" t="s">
        <v>224</v>
      </c>
      <c r="B215" t="s">
        <v>1223</v>
      </c>
      <c r="C215" t="s">
        <v>2008</v>
      </c>
      <c r="D215">
        <v>16</v>
      </c>
      <c r="E215" t="s">
        <v>2009</v>
      </c>
      <c r="F215" t="s">
        <v>2017</v>
      </c>
      <c r="G215" t="s">
        <v>2018</v>
      </c>
      <c r="H215" t="s">
        <v>2023</v>
      </c>
      <c r="I215">
        <v>95</v>
      </c>
      <c r="J215" t="s">
        <v>2033</v>
      </c>
      <c r="K215" t="s">
        <v>2035</v>
      </c>
    </row>
    <row r="216" spans="1:11" x14ac:dyDescent="0.3">
      <c r="A216" s="6" t="s">
        <v>225</v>
      </c>
      <c r="B216" t="s">
        <v>1224</v>
      </c>
      <c r="C216" t="s">
        <v>2007</v>
      </c>
      <c r="D216">
        <v>15</v>
      </c>
      <c r="E216" t="s">
        <v>2013</v>
      </c>
      <c r="F216" t="s">
        <v>2014</v>
      </c>
      <c r="G216" t="s">
        <v>2019</v>
      </c>
      <c r="H216" t="s">
        <v>2023</v>
      </c>
      <c r="I216">
        <v>29</v>
      </c>
      <c r="J216" t="s">
        <v>2025</v>
      </c>
      <c r="K216" t="s">
        <v>2036</v>
      </c>
    </row>
    <row r="217" spans="1:11" x14ac:dyDescent="0.3">
      <c r="A217" s="6" t="s">
        <v>226</v>
      </c>
      <c r="B217" t="s">
        <v>1225</v>
      </c>
      <c r="C217" t="s">
        <v>2008</v>
      </c>
      <c r="D217">
        <v>15</v>
      </c>
      <c r="E217" t="s">
        <v>2009</v>
      </c>
      <c r="F217" t="s">
        <v>2016</v>
      </c>
      <c r="G217" t="s">
        <v>2019</v>
      </c>
      <c r="H217" t="s">
        <v>2023</v>
      </c>
      <c r="I217">
        <v>28</v>
      </c>
      <c r="J217" t="s">
        <v>2034</v>
      </c>
      <c r="K217" t="s">
        <v>2036</v>
      </c>
    </row>
    <row r="218" spans="1:11" x14ac:dyDescent="0.3">
      <c r="A218" s="6" t="s">
        <v>227</v>
      </c>
      <c r="B218" t="s">
        <v>1226</v>
      </c>
      <c r="C218" t="s">
        <v>2007</v>
      </c>
      <c r="D218">
        <v>16</v>
      </c>
      <c r="E218" t="s">
        <v>2011</v>
      </c>
      <c r="F218" t="s">
        <v>2014</v>
      </c>
      <c r="G218" t="s">
        <v>2019</v>
      </c>
      <c r="H218" t="s">
        <v>2024</v>
      </c>
      <c r="I218">
        <v>78</v>
      </c>
      <c r="J218" t="s">
        <v>2032</v>
      </c>
      <c r="K218" t="s">
        <v>2035</v>
      </c>
    </row>
    <row r="219" spans="1:11" x14ac:dyDescent="0.3">
      <c r="A219" s="6" t="s">
        <v>228</v>
      </c>
      <c r="B219" t="s">
        <v>1227</v>
      </c>
      <c r="C219" t="s">
        <v>2008</v>
      </c>
      <c r="D219">
        <v>16</v>
      </c>
      <c r="E219" t="s">
        <v>2009</v>
      </c>
      <c r="F219" t="s">
        <v>2017</v>
      </c>
      <c r="G219" t="s">
        <v>2021</v>
      </c>
      <c r="H219" t="s">
        <v>2024</v>
      </c>
      <c r="I219">
        <v>14</v>
      </c>
      <c r="J219" t="s">
        <v>2029</v>
      </c>
      <c r="K219" t="s">
        <v>2036</v>
      </c>
    </row>
    <row r="220" spans="1:11" x14ac:dyDescent="0.3">
      <c r="A220" s="6" t="s">
        <v>229</v>
      </c>
      <c r="B220" t="s">
        <v>1228</v>
      </c>
      <c r="C220" t="s">
        <v>2007</v>
      </c>
      <c r="D220">
        <v>15</v>
      </c>
      <c r="E220" t="s">
        <v>2013</v>
      </c>
      <c r="F220" t="s">
        <v>2014</v>
      </c>
      <c r="G220" t="s">
        <v>2018</v>
      </c>
      <c r="H220" t="s">
        <v>2023</v>
      </c>
      <c r="I220">
        <v>1</v>
      </c>
      <c r="J220" t="s">
        <v>2034</v>
      </c>
      <c r="K220" t="s">
        <v>2036</v>
      </c>
    </row>
    <row r="221" spans="1:11" x14ac:dyDescent="0.3">
      <c r="A221" s="6" t="s">
        <v>230</v>
      </c>
      <c r="B221" t="s">
        <v>1229</v>
      </c>
      <c r="C221" t="s">
        <v>2008</v>
      </c>
      <c r="D221">
        <v>17</v>
      </c>
      <c r="E221" t="s">
        <v>2009</v>
      </c>
      <c r="F221" t="s">
        <v>2015</v>
      </c>
      <c r="G221" t="s">
        <v>2021</v>
      </c>
      <c r="H221" t="s">
        <v>2023</v>
      </c>
      <c r="I221">
        <v>85</v>
      </c>
      <c r="J221" t="s">
        <v>2026</v>
      </c>
      <c r="K221" t="s">
        <v>2035</v>
      </c>
    </row>
    <row r="222" spans="1:11" x14ac:dyDescent="0.3">
      <c r="A222" s="6" t="s">
        <v>231</v>
      </c>
      <c r="B222" t="s">
        <v>1230</v>
      </c>
      <c r="C222" t="s">
        <v>2007</v>
      </c>
      <c r="D222">
        <v>16</v>
      </c>
      <c r="E222" t="s">
        <v>2011</v>
      </c>
      <c r="F222" t="s">
        <v>2015</v>
      </c>
      <c r="G222" t="s">
        <v>2021</v>
      </c>
      <c r="H222" t="s">
        <v>2023</v>
      </c>
      <c r="I222">
        <v>90</v>
      </c>
      <c r="J222" t="s">
        <v>2025</v>
      </c>
      <c r="K222" t="s">
        <v>2035</v>
      </c>
    </row>
    <row r="223" spans="1:11" x14ac:dyDescent="0.3">
      <c r="A223" s="6" t="s">
        <v>232</v>
      </c>
      <c r="B223" t="s">
        <v>1231</v>
      </c>
      <c r="C223" t="s">
        <v>2007</v>
      </c>
      <c r="D223">
        <v>16</v>
      </c>
      <c r="E223" t="s">
        <v>2011</v>
      </c>
      <c r="F223" t="s">
        <v>2016</v>
      </c>
      <c r="G223" t="s">
        <v>2020</v>
      </c>
      <c r="H223" t="s">
        <v>2024</v>
      </c>
      <c r="I223">
        <v>0</v>
      </c>
      <c r="J223" t="s">
        <v>2031</v>
      </c>
      <c r="K223" t="s">
        <v>2036</v>
      </c>
    </row>
    <row r="224" spans="1:11" x14ac:dyDescent="0.3">
      <c r="A224" s="6" t="s">
        <v>233</v>
      </c>
      <c r="B224" t="s">
        <v>1232</v>
      </c>
      <c r="C224" t="s">
        <v>2007</v>
      </c>
      <c r="D224">
        <v>15</v>
      </c>
      <c r="E224" t="s">
        <v>2011</v>
      </c>
      <c r="F224" t="s">
        <v>2015</v>
      </c>
      <c r="G224" t="s">
        <v>2020</v>
      </c>
      <c r="H224" t="s">
        <v>2023</v>
      </c>
      <c r="I224">
        <v>80</v>
      </c>
      <c r="J224" t="s">
        <v>2027</v>
      </c>
      <c r="K224" t="s">
        <v>2035</v>
      </c>
    </row>
    <row r="225" spans="1:11" x14ac:dyDescent="0.3">
      <c r="A225" s="6" t="s">
        <v>234</v>
      </c>
      <c r="B225" t="s">
        <v>1233</v>
      </c>
      <c r="C225" t="s">
        <v>2008</v>
      </c>
      <c r="D225">
        <v>18</v>
      </c>
      <c r="E225" t="s">
        <v>2009</v>
      </c>
      <c r="F225" t="s">
        <v>2016</v>
      </c>
      <c r="G225" t="s">
        <v>2021</v>
      </c>
      <c r="H225" t="s">
        <v>2023</v>
      </c>
      <c r="I225">
        <v>80</v>
      </c>
      <c r="J225" t="s">
        <v>2026</v>
      </c>
      <c r="K225" t="s">
        <v>2035</v>
      </c>
    </row>
    <row r="226" spans="1:11" x14ac:dyDescent="0.3">
      <c r="A226" s="6" t="s">
        <v>235</v>
      </c>
      <c r="B226" t="s">
        <v>1234</v>
      </c>
      <c r="C226" t="s">
        <v>2007</v>
      </c>
      <c r="D226">
        <v>14</v>
      </c>
      <c r="E226" t="s">
        <v>2009</v>
      </c>
      <c r="F226" t="s">
        <v>2015</v>
      </c>
      <c r="G226" t="s">
        <v>2021</v>
      </c>
      <c r="H226" t="s">
        <v>2023</v>
      </c>
      <c r="I226">
        <v>68</v>
      </c>
      <c r="J226" t="s">
        <v>2033</v>
      </c>
      <c r="K226" t="s">
        <v>2035</v>
      </c>
    </row>
    <row r="227" spans="1:11" x14ac:dyDescent="0.3">
      <c r="A227" s="6" t="s">
        <v>236</v>
      </c>
      <c r="B227" t="s">
        <v>1235</v>
      </c>
      <c r="C227" t="s">
        <v>2007</v>
      </c>
      <c r="D227">
        <v>16</v>
      </c>
      <c r="E227" t="s">
        <v>2013</v>
      </c>
      <c r="F227" t="s">
        <v>2016</v>
      </c>
      <c r="G227" t="s">
        <v>2022</v>
      </c>
      <c r="H227" t="s">
        <v>2023</v>
      </c>
      <c r="I227">
        <v>11</v>
      </c>
      <c r="J227" t="s">
        <v>2028</v>
      </c>
      <c r="K227" t="s">
        <v>2036</v>
      </c>
    </row>
    <row r="228" spans="1:11" x14ac:dyDescent="0.3">
      <c r="A228" s="6" t="s">
        <v>237</v>
      </c>
      <c r="B228" t="s">
        <v>1236</v>
      </c>
      <c r="C228" t="s">
        <v>2007</v>
      </c>
      <c r="D228">
        <v>16</v>
      </c>
      <c r="E228" t="s">
        <v>2012</v>
      </c>
      <c r="F228" t="s">
        <v>2015</v>
      </c>
      <c r="G228" t="s">
        <v>2018</v>
      </c>
      <c r="H228" t="s">
        <v>2023</v>
      </c>
      <c r="I228">
        <v>60</v>
      </c>
      <c r="J228" t="s">
        <v>2028</v>
      </c>
      <c r="K228" t="s">
        <v>2035</v>
      </c>
    </row>
    <row r="229" spans="1:11" x14ac:dyDescent="0.3">
      <c r="A229" s="6" t="s">
        <v>238</v>
      </c>
      <c r="B229" t="s">
        <v>1237</v>
      </c>
      <c r="C229" t="s">
        <v>2008</v>
      </c>
      <c r="D229">
        <v>14</v>
      </c>
      <c r="E229" t="s">
        <v>2011</v>
      </c>
      <c r="F229" t="s">
        <v>2014</v>
      </c>
      <c r="G229" t="s">
        <v>2022</v>
      </c>
      <c r="H229" t="s">
        <v>2024</v>
      </c>
      <c r="I229">
        <v>25</v>
      </c>
      <c r="J229" t="s">
        <v>2027</v>
      </c>
      <c r="K229" t="s">
        <v>2036</v>
      </c>
    </row>
    <row r="230" spans="1:11" x14ac:dyDescent="0.3">
      <c r="A230" s="6" t="s">
        <v>239</v>
      </c>
      <c r="B230" t="s">
        <v>1238</v>
      </c>
      <c r="C230" t="s">
        <v>2008</v>
      </c>
      <c r="D230">
        <v>18</v>
      </c>
      <c r="E230" t="s">
        <v>2012</v>
      </c>
      <c r="F230" t="s">
        <v>2015</v>
      </c>
      <c r="G230" t="s">
        <v>2021</v>
      </c>
      <c r="H230" t="s">
        <v>2023</v>
      </c>
      <c r="I230">
        <v>38</v>
      </c>
      <c r="J230" t="s">
        <v>2031</v>
      </c>
      <c r="K230" t="s">
        <v>2036</v>
      </c>
    </row>
    <row r="231" spans="1:11" x14ac:dyDescent="0.3">
      <c r="A231" s="6" t="s">
        <v>240</v>
      </c>
      <c r="B231" t="s">
        <v>1239</v>
      </c>
      <c r="C231" t="s">
        <v>2007</v>
      </c>
      <c r="D231">
        <v>14</v>
      </c>
      <c r="E231" t="s">
        <v>2013</v>
      </c>
      <c r="F231" t="s">
        <v>2016</v>
      </c>
      <c r="G231" t="s">
        <v>2019</v>
      </c>
      <c r="H231" t="s">
        <v>2024</v>
      </c>
      <c r="I231">
        <v>15</v>
      </c>
      <c r="J231" t="s">
        <v>2026</v>
      </c>
      <c r="K231" t="s">
        <v>2036</v>
      </c>
    </row>
    <row r="232" spans="1:11" x14ac:dyDescent="0.3">
      <c r="A232" s="6" t="s">
        <v>241</v>
      </c>
      <c r="B232" t="s">
        <v>1240</v>
      </c>
      <c r="C232" t="s">
        <v>2008</v>
      </c>
      <c r="D232">
        <v>14</v>
      </c>
      <c r="E232" t="s">
        <v>2012</v>
      </c>
      <c r="F232" t="s">
        <v>2014</v>
      </c>
      <c r="G232" t="s">
        <v>2018</v>
      </c>
      <c r="H232" t="s">
        <v>2023</v>
      </c>
      <c r="I232">
        <v>6</v>
      </c>
      <c r="J232" t="s">
        <v>2031</v>
      </c>
      <c r="K232" t="s">
        <v>2036</v>
      </c>
    </row>
    <row r="233" spans="1:11" x14ac:dyDescent="0.3">
      <c r="A233" s="6" t="s">
        <v>242</v>
      </c>
      <c r="B233" t="s">
        <v>1241</v>
      </c>
      <c r="C233" t="s">
        <v>2008</v>
      </c>
      <c r="D233">
        <v>16</v>
      </c>
      <c r="E233" t="s">
        <v>2010</v>
      </c>
      <c r="F233" t="s">
        <v>2014</v>
      </c>
      <c r="G233" t="s">
        <v>2020</v>
      </c>
      <c r="H233" t="s">
        <v>2023</v>
      </c>
      <c r="I233">
        <v>59</v>
      </c>
      <c r="J233" t="s">
        <v>2026</v>
      </c>
      <c r="K233" t="s">
        <v>2035</v>
      </c>
    </row>
    <row r="234" spans="1:11" x14ac:dyDescent="0.3">
      <c r="A234" s="6" t="s">
        <v>243</v>
      </c>
      <c r="B234" t="s">
        <v>1242</v>
      </c>
      <c r="C234" t="s">
        <v>2008</v>
      </c>
      <c r="D234">
        <v>18</v>
      </c>
      <c r="E234" t="s">
        <v>2012</v>
      </c>
      <c r="F234" t="s">
        <v>2015</v>
      </c>
      <c r="G234" t="s">
        <v>2022</v>
      </c>
      <c r="H234" t="s">
        <v>2023</v>
      </c>
      <c r="I234">
        <v>30</v>
      </c>
      <c r="J234" t="s">
        <v>2031</v>
      </c>
      <c r="K234" t="s">
        <v>2036</v>
      </c>
    </row>
    <row r="235" spans="1:11" x14ac:dyDescent="0.3">
      <c r="A235" s="6" t="s">
        <v>244</v>
      </c>
      <c r="B235" t="s">
        <v>1243</v>
      </c>
      <c r="C235" t="s">
        <v>2007</v>
      </c>
      <c r="D235">
        <v>18</v>
      </c>
      <c r="E235" t="s">
        <v>2012</v>
      </c>
      <c r="F235" t="s">
        <v>2017</v>
      </c>
      <c r="G235" t="s">
        <v>2019</v>
      </c>
      <c r="H235" t="s">
        <v>2023</v>
      </c>
      <c r="I235">
        <v>48</v>
      </c>
      <c r="J235" t="s">
        <v>2032</v>
      </c>
      <c r="K235" t="s">
        <v>2036</v>
      </c>
    </row>
    <row r="236" spans="1:11" x14ac:dyDescent="0.3">
      <c r="A236" s="6" t="s">
        <v>245</v>
      </c>
      <c r="B236" t="s">
        <v>1244</v>
      </c>
      <c r="C236" t="s">
        <v>2008</v>
      </c>
      <c r="D236">
        <v>16</v>
      </c>
      <c r="E236" t="s">
        <v>2009</v>
      </c>
      <c r="F236" t="s">
        <v>2017</v>
      </c>
      <c r="G236" t="s">
        <v>2018</v>
      </c>
      <c r="H236" t="s">
        <v>2023</v>
      </c>
      <c r="I236">
        <v>19</v>
      </c>
      <c r="J236" t="s">
        <v>2030</v>
      </c>
      <c r="K236" t="s">
        <v>2036</v>
      </c>
    </row>
    <row r="237" spans="1:11" x14ac:dyDescent="0.3">
      <c r="A237" s="6" t="s">
        <v>246</v>
      </c>
      <c r="B237" t="s">
        <v>1245</v>
      </c>
      <c r="C237" t="s">
        <v>2008</v>
      </c>
      <c r="D237">
        <v>17</v>
      </c>
      <c r="E237" t="s">
        <v>2013</v>
      </c>
      <c r="F237" t="s">
        <v>2017</v>
      </c>
      <c r="G237" t="s">
        <v>2020</v>
      </c>
      <c r="H237" t="s">
        <v>2023</v>
      </c>
      <c r="I237">
        <v>88</v>
      </c>
      <c r="J237" t="s">
        <v>2031</v>
      </c>
      <c r="K237" t="s">
        <v>2035</v>
      </c>
    </row>
    <row r="238" spans="1:11" x14ac:dyDescent="0.3">
      <c r="A238" s="6" t="s">
        <v>247</v>
      </c>
      <c r="B238" t="s">
        <v>1246</v>
      </c>
      <c r="C238" t="s">
        <v>2008</v>
      </c>
      <c r="D238">
        <v>17</v>
      </c>
      <c r="E238" t="s">
        <v>2009</v>
      </c>
      <c r="F238" t="s">
        <v>2014</v>
      </c>
      <c r="G238" t="s">
        <v>2020</v>
      </c>
      <c r="H238" t="s">
        <v>2023</v>
      </c>
      <c r="I238">
        <v>46</v>
      </c>
      <c r="J238" t="s">
        <v>2029</v>
      </c>
      <c r="K238" t="s">
        <v>2036</v>
      </c>
    </row>
    <row r="239" spans="1:11" x14ac:dyDescent="0.3">
      <c r="A239" s="6" t="s">
        <v>248</v>
      </c>
      <c r="B239" t="s">
        <v>1247</v>
      </c>
      <c r="C239" t="s">
        <v>2007</v>
      </c>
      <c r="D239">
        <v>18</v>
      </c>
      <c r="E239" t="s">
        <v>2013</v>
      </c>
      <c r="F239" t="s">
        <v>2017</v>
      </c>
      <c r="G239" t="s">
        <v>2018</v>
      </c>
      <c r="H239" t="s">
        <v>2023</v>
      </c>
      <c r="I239">
        <v>3</v>
      </c>
      <c r="J239" t="s">
        <v>2027</v>
      </c>
      <c r="K239" t="s">
        <v>2036</v>
      </c>
    </row>
    <row r="240" spans="1:11" x14ac:dyDescent="0.3">
      <c r="A240" s="6" t="s">
        <v>249</v>
      </c>
      <c r="B240" t="s">
        <v>1248</v>
      </c>
      <c r="C240" t="s">
        <v>2008</v>
      </c>
      <c r="D240">
        <v>16</v>
      </c>
      <c r="E240" t="s">
        <v>2011</v>
      </c>
      <c r="F240" t="s">
        <v>2017</v>
      </c>
      <c r="G240" t="s">
        <v>2022</v>
      </c>
      <c r="H240" t="s">
        <v>2024</v>
      </c>
      <c r="I240">
        <v>54</v>
      </c>
      <c r="J240" t="s">
        <v>2029</v>
      </c>
      <c r="K240" t="s">
        <v>2035</v>
      </c>
    </row>
    <row r="241" spans="1:11" x14ac:dyDescent="0.3">
      <c r="A241" s="6" t="s">
        <v>250</v>
      </c>
      <c r="B241" t="s">
        <v>1249</v>
      </c>
      <c r="C241" t="s">
        <v>2008</v>
      </c>
      <c r="D241">
        <v>17</v>
      </c>
      <c r="E241" t="s">
        <v>2009</v>
      </c>
      <c r="F241" t="s">
        <v>2016</v>
      </c>
      <c r="G241" t="s">
        <v>2018</v>
      </c>
      <c r="H241" t="s">
        <v>2023</v>
      </c>
      <c r="I241">
        <v>85</v>
      </c>
      <c r="J241" t="s">
        <v>2033</v>
      </c>
      <c r="K241" t="s">
        <v>2035</v>
      </c>
    </row>
    <row r="242" spans="1:11" x14ac:dyDescent="0.3">
      <c r="A242" s="6" t="s">
        <v>251</v>
      </c>
      <c r="B242" t="s">
        <v>1250</v>
      </c>
      <c r="C242" t="s">
        <v>2007</v>
      </c>
      <c r="D242">
        <v>17</v>
      </c>
      <c r="E242" t="s">
        <v>2013</v>
      </c>
      <c r="F242" t="s">
        <v>2015</v>
      </c>
      <c r="G242" t="s">
        <v>2021</v>
      </c>
      <c r="H242" t="s">
        <v>2024</v>
      </c>
      <c r="I242">
        <v>16</v>
      </c>
      <c r="J242" t="s">
        <v>2025</v>
      </c>
      <c r="K242" t="s">
        <v>2036</v>
      </c>
    </row>
    <row r="243" spans="1:11" x14ac:dyDescent="0.3">
      <c r="A243" s="6" t="s">
        <v>252</v>
      </c>
      <c r="B243" t="s">
        <v>1251</v>
      </c>
      <c r="C243" t="s">
        <v>2008</v>
      </c>
      <c r="D243">
        <v>18</v>
      </c>
      <c r="E243" t="s">
        <v>2009</v>
      </c>
      <c r="F243" t="s">
        <v>2015</v>
      </c>
      <c r="G243" t="s">
        <v>2019</v>
      </c>
      <c r="H243" t="s">
        <v>2023</v>
      </c>
      <c r="I243">
        <v>28</v>
      </c>
      <c r="J243" t="s">
        <v>2033</v>
      </c>
      <c r="K243" t="s">
        <v>2036</v>
      </c>
    </row>
    <row r="244" spans="1:11" x14ac:dyDescent="0.3">
      <c r="A244" s="6" t="s">
        <v>253</v>
      </c>
      <c r="B244" t="s">
        <v>1252</v>
      </c>
      <c r="C244" t="s">
        <v>2007</v>
      </c>
      <c r="D244">
        <v>15</v>
      </c>
      <c r="E244" t="s">
        <v>2009</v>
      </c>
      <c r="F244" t="s">
        <v>2016</v>
      </c>
      <c r="G244" t="s">
        <v>2020</v>
      </c>
      <c r="H244" t="s">
        <v>2024</v>
      </c>
      <c r="I244">
        <v>26</v>
      </c>
      <c r="J244" t="s">
        <v>2030</v>
      </c>
      <c r="K244" t="s">
        <v>2036</v>
      </c>
    </row>
    <row r="245" spans="1:11" x14ac:dyDescent="0.3">
      <c r="A245" s="6" t="s">
        <v>254</v>
      </c>
      <c r="B245" t="s">
        <v>1253</v>
      </c>
      <c r="C245" t="s">
        <v>2007</v>
      </c>
      <c r="D245">
        <v>15</v>
      </c>
      <c r="E245" t="s">
        <v>2011</v>
      </c>
      <c r="F245" t="s">
        <v>2014</v>
      </c>
      <c r="G245" t="s">
        <v>2018</v>
      </c>
      <c r="H245" t="s">
        <v>2024</v>
      </c>
      <c r="I245">
        <v>55</v>
      </c>
      <c r="J245" t="s">
        <v>2033</v>
      </c>
      <c r="K245" t="s">
        <v>2035</v>
      </c>
    </row>
    <row r="246" spans="1:11" x14ac:dyDescent="0.3">
      <c r="A246" s="6" t="s">
        <v>255</v>
      </c>
      <c r="B246" t="s">
        <v>1254</v>
      </c>
      <c r="C246" t="s">
        <v>2007</v>
      </c>
      <c r="D246">
        <v>16</v>
      </c>
      <c r="E246" t="s">
        <v>2011</v>
      </c>
      <c r="F246" t="s">
        <v>2016</v>
      </c>
      <c r="G246" t="s">
        <v>2019</v>
      </c>
      <c r="H246" t="s">
        <v>2024</v>
      </c>
      <c r="I246">
        <v>7</v>
      </c>
      <c r="J246" t="s">
        <v>2030</v>
      </c>
      <c r="K246" t="s">
        <v>2036</v>
      </c>
    </row>
    <row r="247" spans="1:11" x14ac:dyDescent="0.3">
      <c r="A247" s="6" t="s">
        <v>256</v>
      </c>
      <c r="B247" t="s">
        <v>1255</v>
      </c>
      <c r="C247" t="s">
        <v>2007</v>
      </c>
      <c r="D247">
        <v>15</v>
      </c>
      <c r="E247" t="s">
        <v>2009</v>
      </c>
      <c r="F247" t="s">
        <v>2014</v>
      </c>
      <c r="G247" t="s">
        <v>2018</v>
      </c>
      <c r="H247" t="s">
        <v>2024</v>
      </c>
      <c r="I247">
        <v>96</v>
      </c>
      <c r="J247" t="s">
        <v>2032</v>
      </c>
      <c r="K247" t="s">
        <v>2035</v>
      </c>
    </row>
    <row r="248" spans="1:11" x14ac:dyDescent="0.3">
      <c r="A248" s="6" t="s">
        <v>257</v>
      </c>
      <c r="B248" t="s">
        <v>1256</v>
      </c>
      <c r="C248" t="s">
        <v>2007</v>
      </c>
      <c r="D248">
        <v>15</v>
      </c>
      <c r="E248" t="s">
        <v>2012</v>
      </c>
      <c r="F248" t="s">
        <v>2014</v>
      </c>
      <c r="G248" t="s">
        <v>2020</v>
      </c>
      <c r="H248" t="s">
        <v>2023</v>
      </c>
      <c r="I248">
        <v>13</v>
      </c>
      <c r="J248" t="s">
        <v>2032</v>
      </c>
      <c r="K248" t="s">
        <v>2036</v>
      </c>
    </row>
    <row r="249" spans="1:11" x14ac:dyDescent="0.3">
      <c r="A249" s="6" t="s">
        <v>258</v>
      </c>
      <c r="B249" t="s">
        <v>1257</v>
      </c>
      <c r="C249" t="s">
        <v>2007</v>
      </c>
      <c r="D249">
        <v>18</v>
      </c>
      <c r="E249" t="s">
        <v>2011</v>
      </c>
      <c r="F249" t="s">
        <v>2017</v>
      </c>
      <c r="G249" t="s">
        <v>2022</v>
      </c>
      <c r="H249" t="s">
        <v>2023</v>
      </c>
      <c r="I249">
        <v>3</v>
      </c>
      <c r="J249" t="s">
        <v>2030</v>
      </c>
      <c r="K249" t="s">
        <v>2036</v>
      </c>
    </row>
    <row r="250" spans="1:11" x14ac:dyDescent="0.3">
      <c r="A250" s="6" t="s">
        <v>259</v>
      </c>
      <c r="B250" t="s">
        <v>1258</v>
      </c>
      <c r="C250" t="s">
        <v>2008</v>
      </c>
      <c r="D250">
        <v>16</v>
      </c>
      <c r="E250" t="s">
        <v>2009</v>
      </c>
      <c r="F250" t="s">
        <v>2016</v>
      </c>
      <c r="G250" t="s">
        <v>2018</v>
      </c>
      <c r="H250" t="s">
        <v>2023</v>
      </c>
      <c r="I250">
        <v>98</v>
      </c>
      <c r="J250" t="s">
        <v>2026</v>
      </c>
      <c r="K250" t="s">
        <v>2035</v>
      </c>
    </row>
    <row r="251" spans="1:11" x14ac:dyDescent="0.3">
      <c r="A251" s="6" t="s">
        <v>260</v>
      </c>
      <c r="B251" t="s">
        <v>1259</v>
      </c>
      <c r="C251" t="s">
        <v>2007</v>
      </c>
      <c r="D251">
        <v>15</v>
      </c>
      <c r="E251" t="s">
        <v>2012</v>
      </c>
      <c r="F251" t="s">
        <v>2016</v>
      </c>
      <c r="G251" t="s">
        <v>2020</v>
      </c>
      <c r="H251" t="s">
        <v>2023</v>
      </c>
      <c r="I251">
        <v>3</v>
      </c>
      <c r="J251" t="s">
        <v>2028</v>
      </c>
      <c r="K251" t="s">
        <v>2036</v>
      </c>
    </row>
    <row r="252" spans="1:11" x14ac:dyDescent="0.3">
      <c r="A252" s="6" t="s">
        <v>261</v>
      </c>
      <c r="B252" t="s">
        <v>1260</v>
      </c>
      <c r="C252" t="s">
        <v>2008</v>
      </c>
      <c r="D252">
        <v>15</v>
      </c>
      <c r="E252" t="s">
        <v>2011</v>
      </c>
      <c r="F252" t="s">
        <v>2014</v>
      </c>
      <c r="G252" t="s">
        <v>2019</v>
      </c>
      <c r="H252" t="s">
        <v>2023</v>
      </c>
      <c r="I252">
        <v>91</v>
      </c>
      <c r="J252" t="s">
        <v>2034</v>
      </c>
      <c r="K252" t="s">
        <v>2035</v>
      </c>
    </row>
    <row r="253" spans="1:11" x14ac:dyDescent="0.3">
      <c r="A253" s="6" t="s">
        <v>262</v>
      </c>
      <c r="B253" t="s">
        <v>1261</v>
      </c>
      <c r="C253" t="s">
        <v>2008</v>
      </c>
      <c r="D253">
        <v>18</v>
      </c>
      <c r="E253" t="s">
        <v>2009</v>
      </c>
      <c r="F253" t="s">
        <v>2014</v>
      </c>
      <c r="G253" t="s">
        <v>2022</v>
      </c>
      <c r="H253" t="s">
        <v>2023</v>
      </c>
      <c r="I253">
        <v>54</v>
      </c>
      <c r="J253" t="s">
        <v>2030</v>
      </c>
      <c r="K253" t="s">
        <v>2035</v>
      </c>
    </row>
    <row r="254" spans="1:11" x14ac:dyDescent="0.3">
      <c r="A254" s="6" t="s">
        <v>263</v>
      </c>
      <c r="B254" t="s">
        <v>1262</v>
      </c>
      <c r="C254" t="s">
        <v>2008</v>
      </c>
      <c r="D254">
        <v>18</v>
      </c>
      <c r="E254" t="s">
        <v>2009</v>
      </c>
      <c r="F254" t="s">
        <v>2015</v>
      </c>
      <c r="G254" t="s">
        <v>2019</v>
      </c>
      <c r="H254" t="s">
        <v>2023</v>
      </c>
      <c r="I254">
        <v>80</v>
      </c>
      <c r="J254" t="s">
        <v>2025</v>
      </c>
      <c r="K254" t="s">
        <v>2035</v>
      </c>
    </row>
    <row r="255" spans="1:11" x14ac:dyDescent="0.3">
      <c r="A255" s="6" t="s">
        <v>264</v>
      </c>
      <c r="B255" t="s">
        <v>1263</v>
      </c>
      <c r="C255" t="s">
        <v>2007</v>
      </c>
      <c r="D255">
        <v>18</v>
      </c>
      <c r="E255" t="s">
        <v>2011</v>
      </c>
      <c r="F255" t="s">
        <v>2015</v>
      </c>
      <c r="G255" t="s">
        <v>2021</v>
      </c>
      <c r="H255" t="s">
        <v>2023</v>
      </c>
      <c r="I255">
        <v>72</v>
      </c>
      <c r="J255" t="s">
        <v>2025</v>
      </c>
      <c r="K255" t="s">
        <v>2035</v>
      </c>
    </row>
    <row r="256" spans="1:11" x14ac:dyDescent="0.3">
      <c r="A256" s="6" t="s">
        <v>265</v>
      </c>
      <c r="B256" t="s">
        <v>1264</v>
      </c>
      <c r="C256" t="s">
        <v>2007</v>
      </c>
      <c r="D256">
        <v>16</v>
      </c>
      <c r="E256" t="s">
        <v>2010</v>
      </c>
      <c r="F256" t="s">
        <v>2017</v>
      </c>
      <c r="G256" t="s">
        <v>2018</v>
      </c>
      <c r="H256" t="s">
        <v>2024</v>
      </c>
      <c r="I256">
        <v>19</v>
      </c>
      <c r="J256" t="s">
        <v>2027</v>
      </c>
      <c r="K256" t="s">
        <v>2036</v>
      </c>
    </row>
    <row r="257" spans="1:11" x14ac:dyDescent="0.3">
      <c r="A257" s="6" t="s">
        <v>266</v>
      </c>
      <c r="B257" t="s">
        <v>1265</v>
      </c>
      <c r="C257" t="s">
        <v>2008</v>
      </c>
      <c r="D257">
        <v>17</v>
      </c>
      <c r="E257" t="s">
        <v>2013</v>
      </c>
      <c r="F257" t="s">
        <v>2017</v>
      </c>
      <c r="G257" t="s">
        <v>2020</v>
      </c>
      <c r="H257" t="s">
        <v>2024</v>
      </c>
      <c r="I257">
        <v>49</v>
      </c>
      <c r="J257" t="s">
        <v>2027</v>
      </c>
      <c r="K257" t="s">
        <v>2036</v>
      </c>
    </row>
    <row r="258" spans="1:11" x14ac:dyDescent="0.3">
      <c r="A258" s="6" t="s">
        <v>267</v>
      </c>
      <c r="B258" t="s">
        <v>1266</v>
      </c>
      <c r="C258" t="s">
        <v>2007</v>
      </c>
      <c r="D258">
        <v>18</v>
      </c>
      <c r="E258" t="s">
        <v>2012</v>
      </c>
      <c r="F258" t="s">
        <v>2016</v>
      </c>
      <c r="G258" t="s">
        <v>2019</v>
      </c>
      <c r="H258" t="s">
        <v>2024</v>
      </c>
      <c r="I258">
        <v>98</v>
      </c>
      <c r="J258" t="s">
        <v>2033</v>
      </c>
      <c r="K258" t="s">
        <v>2035</v>
      </c>
    </row>
    <row r="259" spans="1:11" x14ac:dyDescent="0.3">
      <c r="A259" s="6" t="s">
        <v>268</v>
      </c>
      <c r="B259" t="s">
        <v>1267</v>
      </c>
      <c r="C259" t="s">
        <v>2007</v>
      </c>
      <c r="D259">
        <v>15</v>
      </c>
      <c r="E259" t="s">
        <v>2010</v>
      </c>
      <c r="F259" t="s">
        <v>2015</v>
      </c>
      <c r="G259" t="s">
        <v>2022</v>
      </c>
      <c r="H259" t="s">
        <v>2023</v>
      </c>
      <c r="I259">
        <v>99</v>
      </c>
      <c r="J259" t="s">
        <v>2033</v>
      </c>
      <c r="K259" t="s">
        <v>2035</v>
      </c>
    </row>
    <row r="260" spans="1:11" x14ac:dyDescent="0.3">
      <c r="A260" s="6" t="s">
        <v>269</v>
      </c>
      <c r="B260" t="s">
        <v>1268</v>
      </c>
      <c r="C260" t="s">
        <v>2007</v>
      </c>
      <c r="D260">
        <v>17</v>
      </c>
      <c r="E260" t="s">
        <v>2012</v>
      </c>
      <c r="F260" t="s">
        <v>2015</v>
      </c>
      <c r="G260" t="s">
        <v>2019</v>
      </c>
      <c r="H260" t="s">
        <v>2023</v>
      </c>
      <c r="I260">
        <v>91</v>
      </c>
      <c r="J260" t="s">
        <v>2033</v>
      </c>
      <c r="K260" t="s">
        <v>2035</v>
      </c>
    </row>
    <row r="261" spans="1:11" x14ac:dyDescent="0.3">
      <c r="A261" s="6" t="s">
        <v>270</v>
      </c>
      <c r="B261" t="s">
        <v>1269</v>
      </c>
      <c r="C261" t="s">
        <v>2007</v>
      </c>
      <c r="D261">
        <v>14</v>
      </c>
      <c r="E261" t="s">
        <v>2011</v>
      </c>
      <c r="F261" t="s">
        <v>2017</v>
      </c>
      <c r="G261" t="s">
        <v>2018</v>
      </c>
      <c r="H261" t="s">
        <v>2024</v>
      </c>
      <c r="I261">
        <v>24</v>
      </c>
      <c r="J261" t="s">
        <v>2029</v>
      </c>
      <c r="K261" t="s">
        <v>2036</v>
      </c>
    </row>
    <row r="262" spans="1:11" x14ac:dyDescent="0.3">
      <c r="A262" s="6" t="s">
        <v>271</v>
      </c>
      <c r="B262" t="s">
        <v>1270</v>
      </c>
      <c r="C262" t="s">
        <v>2008</v>
      </c>
      <c r="D262">
        <v>18</v>
      </c>
      <c r="E262" t="s">
        <v>2009</v>
      </c>
      <c r="F262" t="s">
        <v>2017</v>
      </c>
      <c r="G262" t="s">
        <v>2018</v>
      </c>
      <c r="H262" t="s">
        <v>2023</v>
      </c>
      <c r="I262">
        <v>0</v>
      </c>
      <c r="J262" t="s">
        <v>2034</v>
      </c>
      <c r="K262" t="s">
        <v>2036</v>
      </c>
    </row>
    <row r="263" spans="1:11" x14ac:dyDescent="0.3">
      <c r="A263" s="6" t="s">
        <v>272</v>
      </c>
      <c r="B263" t="s">
        <v>1271</v>
      </c>
      <c r="C263" t="s">
        <v>2008</v>
      </c>
      <c r="D263">
        <v>16</v>
      </c>
      <c r="E263" t="s">
        <v>2013</v>
      </c>
      <c r="F263" t="s">
        <v>2017</v>
      </c>
      <c r="G263" t="s">
        <v>2019</v>
      </c>
      <c r="H263" t="s">
        <v>2024</v>
      </c>
      <c r="I263">
        <v>19</v>
      </c>
      <c r="J263" t="s">
        <v>2025</v>
      </c>
      <c r="K263" t="s">
        <v>2036</v>
      </c>
    </row>
    <row r="264" spans="1:11" x14ac:dyDescent="0.3">
      <c r="A264" s="6" t="s">
        <v>273</v>
      </c>
      <c r="B264" t="s">
        <v>1272</v>
      </c>
      <c r="C264" t="s">
        <v>2008</v>
      </c>
      <c r="D264">
        <v>18</v>
      </c>
      <c r="E264" t="s">
        <v>2009</v>
      </c>
      <c r="F264" t="s">
        <v>2017</v>
      </c>
      <c r="G264" t="s">
        <v>2020</v>
      </c>
      <c r="H264" t="s">
        <v>2024</v>
      </c>
      <c r="I264">
        <v>62</v>
      </c>
      <c r="J264" t="s">
        <v>2026</v>
      </c>
      <c r="K264" t="s">
        <v>2035</v>
      </c>
    </row>
    <row r="265" spans="1:11" x14ac:dyDescent="0.3">
      <c r="A265" s="6" t="s">
        <v>274</v>
      </c>
      <c r="B265" t="s">
        <v>1273</v>
      </c>
      <c r="C265" t="s">
        <v>2007</v>
      </c>
      <c r="D265">
        <v>16</v>
      </c>
      <c r="E265" t="s">
        <v>2009</v>
      </c>
      <c r="F265" t="s">
        <v>2015</v>
      </c>
      <c r="G265" t="s">
        <v>2020</v>
      </c>
      <c r="H265" t="s">
        <v>2024</v>
      </c>
      <c r="I265">
        <v>13</v>
      </c>
      <c r="J265" t="s">
        <v>2026</v>
      </c>
      <c r="K265" t="s">
        <v>2036</v>
      </c>
    </row>
    <row r="266" spans="1:11" x14ac:dyDescent="0.3">
      <c r="A266" s="6" t="s">
        <v>275</v>
      </c>
      <c r="B266" t="s">
        <v>1274</v>
      </c>
      <c r="C266" t="s">
        <v>2007</v>
      </c>
      <c r="D266">
        <v>17</v>
      </c>
      <c r="E266" t="s">
        <v>2011</v>
      </c>
      <c r="F266" t="s">
        <v>2016</v>
      </c>
      <c r="G266" t="s">
        <v>2019</v>
      </c>
      <c r="H266" t="s">
        <v>2023</v>
      </c>
      <c r="I266">
        <v>19</v>
      </c>
      <c r="J266" t="s">
        <v>2026</v>
      </c>
      <c r="K266" t="s">
        <v>2036</v>
      </c>
    </row>
    <row r="267" spans="1:11" x14ac:dyDescent="0.3">
      <c r="A267" s="6" t="s">
        <v>276</v>
      </c>
      <c r="B267" t="s">
        <v>1275</v>
      </c>
      <c r="C267" t="s">
        <v>2007</v>
      </c>
      <c r="D267">
        <v>17</v>
      </c>
      <c r="E267" t="s">
        <v>2010</v>
      </c>
      <c r="F267" t="s">
        <v>2015</v>
      </c>
      <c r="G267" t="s">
        <v>2018</v>
      </c>
      <c r="H267" t="s">
        <v>2024</v>
      </c>
      <c r="I267">
        <v>70</v>
      </c>
      <c r="J267" t="s">
        <v>2027</v>
      </c>
      <c r="K267" t="s">
        <v>2035</v>
      </c>
    </row>
    <row r="268" spans="1:11" x14ac:dyDescent="0.3">
      <c r="A268" s="6" t="s">
        <v>277</v>
      </c>
      <c r="B268" t="s">
        <v>1276</v>
      </c>
      <c r="C268" t="s">
        <v>2007</v>
      </c>
      <c r="D268">
        <v>15</v>
      </c>
      <c r="E268" t="s">
        <v>2010</v>
      </c>
      <c r="F268" t="s">
        <v>2015</v>
      </c>
      <c r="G268" t="s">
        <v>2018</v>
      </c>
      <c r="H268" t="s">
        <v>2024</v>
      </c>
      <c r="I268">
        <v>17</v>
      </c>
      <c r="J268" t="s">
        <v>2026</v>
      </c>
      <c r="K268" t="s">
        <v>2036</v>
      </c>
    </row>
    <row r="269" spans="1:11" x14ac:dyDescent="0.3">
      <c r="A269" s="6" t="s">
        <v>278</v>
      </c>
      <c r="B269" t="s">
        <v>1277</v>
      </c>
      <c r="C269" t="s">
        <v>2008</v>
      </c>
      <c r="D269">
        <v>15</v>
      </c>
      <c r="E269" t="s">
        <v>2010</v>
      </c>
      <c r="F269" t="s">
        <v>2016</v>
      </c>
      <c r="G269" t="s">
        <v>2020</v>
      </c>
      <c r="H269" t="s">
        <v>2024</v>
      </c>
      <c r="I269">
        <v>51</v>
      </c>
      <c r="J269" t="s">
        <v>2026</v>
      </c>
      <c r="K269" t="s">
        <v>2035</v>
      </c>
    </row>
    <row r="270" spans="1:11" x14ac:dyDescent="0.3">
      <c r="A270" s="6" t="s">
        <v>279</v>
      </c>
      <c r="B270" t="s">
        <v>1278</v>
      </c>
      <c r="C270" t="s">
        <v>2008</v>
      </c>
      <c r="D270">
        <v>14</v>
      </c>
      <c r="E270" t="s">
        <v>2013</v>
      </c>
      <c r="F270" t="s">
        <v>2016</v>
      </c>
      <c r="G270" t="s">
        <v>2019</v>
      </c>
      <c r="H270" t="s">
        <v>2023</v>
      </c>
      <c r="I270">
        <v>41</v>
      </c>
      <c r="J270" t="s">
        <v>2025</v>
      </c>
      <c r="K270" t="s">
        <v>2036</v>
      </c>
    </row>
    <row r="271" spans="1:11" x14ac:dyDescent="0.3">
      <c r="A271" s="6" t="s">
        <v>280</v>
      </c>
      <c r="B271" t="s">
        <v>1279</v>
      </c>
      <c r="C271" t="s">
        <v>2008</v>
      </c>
      <c r="D271">
        <v>17</v>
      </c>
      <c r="E271" t="s">
        <v>2011</v>
      </c>
      <c r="F271" t="s">
        <v>2016</v>
      </c>
      <c r="G271" t="s">
        <v>2021</v>
      </c>
      <c r="H271" t="s">
        <v>2024</v>
      </c>
      <c r="I271">
        <v>70</v>
      </c>
      <c r="J271" t="s">
        <v>2034</v>
      </c>
      <c r="K271" t="s">
        <v>2035</v>
      </c>
    </row>
    <row r="272" spans="1:11" x14ac:dyDescent="0.3">
      <c r="A272" s="6" t="s">
        <v>281</v>
      </c>
      <c r="B272" t="s">
        <v>1280</v>
      </c>
      <c r="C272" t="s">
        <v>2008</v>
      </c>
      <c r="D272">
        <v>18</v>
      </c>
      <c r="E272" t="s">
        <v>2011</v>
      </c>
      <c r="F272" t="s">
        <v>2017</v>
      </c>
      <c r="G272" t="s">
        <v>2022</v>
      </c>
      <c r="H272" t="s">
        <v>2023</v>
      </c>
      <c r="I272">
        <v>31</v>
      </c>
      <c r="J272" t="s">
        <v>2033</v>
      </c>
      <c r="K272" t="s">
        <v>2036</v>
      </c>
    </row>
    <row r="273" spans="1:11" x14ac:dyDescent="0.3">
      <c r="A273" s="6" t="s">
        <v>282</v>
      </c>
      <c r="B273" t="s">
        <v>1281</v>
      </c>
      <c r="C273" t="s">
        <v>2008</v>
      </c>
      <c r="D273">
        <v>16</v>
      </c>
      <c r="E273" t="s">
        <v>2009</v>
      </c>
      <c r="F273" t="s">
        <v>2016</v>
      </c>
      <c r="G273" t="s">
        <v>2018</v>
      </c>
      <c r="H273" t="s">
        <v>2024</v>
      </c>
      <c r="I273">
        <v>35</v>
      </c>
      <c r="J273" t="s">
        <v>2031</v>
      </c>
      <c r="K273" t="s">
        <v>2036</v>
      </c>
    </row>
    <row r="274" spans="1:11" x14ac:dyDescent="0.3">
      <c r="A274" s="6" t="s">
        <v>283</v>
      </c>
      <c r="B274" t="s">
        <v>1282</v>
      </c>
      <c r="C274" t="s">
        <v>2007</v>
      </c>
      <c r="D274">
        <v>16</v>
      </c>
      <c r="E274" t="s">
        <v>2011</v>
      </c>
      <c r="F274" t="s">
        <v>2016</v>
      </c>
      <c r="G274" t="s">
        <v>2022</v>
      </c>
      <c r="H274" t="s">
        <v>2023</v>
      </c>
      <c r="I274">
        <v>35</v>
      </c>
      <c r="J274" t="s">
        <v>2032</v>
      </c>
      <c r="K274" t="s">
        <v>2036</v>
      </c>
    </row>
    <row r="275" spans="1:11" x14ac:dyDescent="0.3">
      <c r="A275" s="6" t="s">
        <v>284</v>
      </c>
      <c r="B275" t="s">
        <v>1283</v>
      </c>
      <c r="C275" t="s">
        <v>2007</v>
      </c>
      <c r="D275">
        <v>18</v>
      </c>
      <c r="E275" t="s">
        <v>2013</v>
      </c>
      <c r="F275" t="s">
        <v>2017</v>
      </c>
      <c r="G275" t="s">
        <v>2019</v>
      </c>
      <c r="H275" t="s">
        <v>2024</v>
      </c>
      <c r="I275">
        <v>52</v>
      </c>
      <c r="J275" t="s">
        <v>2031</v>
      </c>
      <c r="K275" t="s">
        <v>2035</v>
      </c>
    </row>
    <row r="276" spans="1:11" x14ac:dyDescent="0.3">
      <c r="A276" s="6" t="s">
        <v>285</v>
      </c>
      <c r="B276" t="s">
        <v>1284</v>
      </c>
      <c r="C276" t="s">
        <v>2007</v>
      </c>
      <c r="D276">
        <v>14</v>
      </c>
      <c r="E276" t="s">
        <v>2012</v>
      </c>
      <c r="F276" t="s">
        <v>2017</v>
      </c>
      <c r="G276" t="s">
        <v>2019</v>
      </c>
      <c r="H276" t="s">
        <v>2023</v>
      </c>
      <c r="I276">
        <v>90</v>
      </c>
      <c r="J276" t="s">
        <v>2033</v>
      </c>
      <c r="K276" t="s">
        <v>2035</v>
      </c>
    </row>
    <row r="277" spans="1:11" x14ac:dyDescent="0.3">
      <c r="A277" s="6" t="s">
        <v>286</v>
      </c>
      <c r="B277" t="s">
        <v>1285</v>
      </c>
      <c r="C277" t="s">
        <v>2007</v>
      </c>
      <c r="D277">
        <v>18</v>
      </c>
      <c r="E277" t="s">
        <v>2009</v>
      </c>
      <c r="F277" t="s">
        <v>2016</v>
      </c>
      <c r="G277" t="s">
        <v>2020</v>
      </c>
      <c r="H277" t="s">
        <v>2023</v>
      </c>
      <c r="I277">
        <v>23</v>
      </c>
      <c r="J277" t="s">
        <v>2026</v>
      </c>
      <c r="K277" t="s">
        <v>2036</v>
      </c>
    </row>
    <row r="278" spans="1:11" x14ac:dyDescent="0.3">
      <c r="A278" s="6" t="s">
        <v>287</v>
      </c>
      <c r="B278" t="s">
        <v>1286</v>
      </c>
      <c r="C278" t="s">
        <v>2008</v>
      </c>
      <c r="D278">
        <v>14</v>
      </c>
      <c r="E278" t="s">
        <v>2013</v>
      </c>
      <c r="F278" t="s">
        <v>2014</v>
      </c>
      <c r="G278" t="s">
        <v>2022</v>
      </c>
      <c r="H278" t="s">
        <v>2023</v>
      </c>
      <c r="I278">
        <v>63</v>
      </c>
      <c r="J278" t="s">
        <v>2025</v>
      </c>
      <c r="K278" t="s">
        <v>2035</v>
      </c>
    </row>
    <row r="279" spans="1:11" x14ac:dyDescent="0.3">
      <c r="A279" s="6" t="s">
        <v>288</v>
      </c>
      <c r="B279" t="s">
        <v>1287</v>
      </c>
      <c r="C279" t="s">
        <v>2007</v>
      </c>
      <c r="D279">
        <v>16</v>
      </c>
      <c r="E279" t="s">
        <v>2010</v>
      </c>
      <c r="F279" t="s">
        <v>2016</v>
      </c>
      <c r="G279" t="s">
        <v>2020</v>
      </c>
      <c r="H279" t="s">
        <v>2023</v>
      </c>
      <c r="I279">
        <v>77</v>
      </c>
      <c r="J279" t="s">
        <v>2029</v>
      </c>
      <c r="K279" t="s">
        <v>2035</v>
      </c>
    </row>
    <row r="280" spans="1:11" x14ac:dyDescent="0.3">
      <c r="A280" s="6" t="s">
        <v>289</v>
      </c>
      <c r="B280" t="s">
        <v>1288</v>
      </c>
      <c r="C280" t="s">
        <v>2008</v>
      </c>
      <c r="D280">
        <v>18</v>
      </c>
      <c r="E280" t="s">
        <v>2010</v>
      </c>
      <c r="F280" t="s">
        <v>2014</v>
      </c>
      <c r="G280" t="s">
        <v>2020</v>
      </c>
      <c r="H280" t="s">
        <v>2024</v>
      </c>
      <c r="I280">
        <v>56</v>
      </c>
      <c r="J280" t="s">
        <v>2027</v>
      </c>
      <c r="K280" t="s">
        <v>2035</v>
      </c>
    </row>
    <row r="281" spans="1:11" x14ac:dyDescent="0.3">
      <c r="A281" s="6" t="s">
        <v>290</v>
      </c>
      <c r="B281" t="s">
        <v>1289</v>
      </c>
      <c r="C281" t="s">
        <v>2008</v>
      </c>
      <c r="D281">
        <v>18</v>
      </c>
      <c r="E281" t="s">
        <v>2009</v>
      </c>
      <c r="F281" t="s">
        <v>2017</v>
      </c>
      <c r="G281" t="s">
        <v>2019</v>
      </c>
      <c r="H281" t="s">
        <v>2023</v>
      </c>
      <c r="I281">
        <v>7</v>
      </c>
      <c r="J281" t="s">
        <v>2028</v>
      </c>
      <c r="K281" t="s">
        <v>2036</v>
      </c>
    </row>
    <row r="282" spans="1:11" x14ac:dyDescent="0.3">
      <c r="A282" s="6" t="s">
        <v>291</v>
      </c>
      <c r="B282" t="s">
        <v>1290</v>
      </c>
      <c r="C282" t="s">
        <v>2007</v>
      </c>
      <c r="D282">
        <v>16</v>
      </c>
      <c r="E282" t="s">
        <v>2013</v>
      </c>
      <c r="F282" t="s">
        <v>2015</v>
      </c>
      <c r="G282" t="s">
        <v>2022</v>
      </c>
      <c r="H282" t="s">
        <v>2024</v>
      </c>
      <c r="I282">
        <v>10</v>
      </c>
      <c r="J282" t="s">
        <v>2031</v>
      </c>
      <c r="K282" t="s">
        <v>2036</v>
      </c>
    </row>
    <row r="283" spans="1:11" x14ac:dyDescent="0.3">
      <c r="A283" s="6" t="s">
        <v>292</v>
      </c>
      <c r="B283" t="s">
        <v>1291</v>
      </c>
      <c r="C283" t="s">
        <v>2007</v>
      </c>
      <c r="D283">
        <v>14</v>
      </c>
      <c r="E283" t="s">
        <v>2009</v>
      </c>
      <c r="F283" t="s">
        <v>2016</v>
      </c>
      <c r="G283" t="s">
        <v>2021</v>
      </c>
      <c r="H283" t="s">
        <v>2024</v>
      </c>
      <c r="I283">
        <v>77</v>
      </c>
      <c r="J283" t="s">
        <v>2030</v>
      </c>
      <c r="K283" t="s">
        <v>2035</v>
      </c>
    </row>
    <row r="284" spans="1:11" x14ac:dyDescent="0.3">
      <c r="A284" s="6" t="s">
        <v>293</v>
      </c>
      <c r="B284" t="s">
        <v>1292</v>
      </c>
      <c r="C284" t="s">
        <v>2008</v>
      </c>
      <c r="D284">
        <v>18</v>
      </c>
      <c r="E284" t="s">
        <v>2013</v>
      </c>
      <c r="F284" t="s">
        <v>2015</v>
      </c>
      <c r="G284" t="s">
        <v>2021</v>
      </c>
      <c r="H284" t="s">
        <v>2023</v>
      </c>
      <c r="I284">
        <v>70</v>
      </c>
      <c r="J284" t="s">
        <v>2029</v>
      </c>
      <c r="K284" t="s">
        <v>2035</v>
      </c>
    </row>
    <row r="285" spans="1:11" x14ac:dyDescent="0.3">
      <c r="A285" s="6" t="s">
        <v>294</v>
      </c>
      <c r="B285" t="s">
        <v>1293</v>
      </c>
      <c r="C285" t="s">
        <v>2007</v>
      </c>
      <c r="D285">
        <v>17</v>
      </c>
      <c r="E285" t="s">
        <v>2013</v>
      </c>
      <c r="F285" t="s">
        <v>2014</v>
      </c>
      <c r="G285" t="s">
        <v>2020</v>
      </c>
      <c r="H285" t="s">
        <v>2024</v>
      </c>
      <c r="I285">
        <v>24</v>
      </c>
      <c r="J285" t="s">
        <v>2025</v>
      </c>
      <c r="K285" t="s">
        <v>2036</v>
      </c>
    </row>
    <row r="286" spans="1:11" x14ac:dyDescent="0.3">
      <c r="A286" s="6" t="s">
        <v>295</v>
      </c>
      <c r="B286" t="s">
        <v>1294</v>
      </c>
      <c r="C286" t="s">
        <v>2008</v>
      </c>
      <c r="D286">
        <v>16</v>
      </c>
      <c r="E286" t="s">
        <v>2013</v>
      </c>
      <c r="F286" t="s">
        <v>2014</v>
      </c>
      <c r="G286" t="s">
        <v>2018</v>
      </c>
      <c r="H286" t="s">
        <v>2024</v>
      </c>
      <c r="I286">
        <v>98</v>
      </c>
      <c r="J286" t="s">
        <v>2027</v>
      </c>
      <c r="K286" t="s">
        <v>2035</v>
      </c>
    </row>
    <row r="287" spans="1:11" x14ac:dyDescent="0.3">
      <c r="A287" s="6" t="s">
        <v>296</v>
      </c>
      <c r="B287" t="s">
        <v>1295</v>
      </c>
      <c r="C287" t="s">
        <v>2008</v>
      </c>
      <c r="D287">
        <v>16</v>
      </c>
      <c r="E287" t="s">
        <v>2013</v>
      </c>
      <c r="F287" t="s">
        <v>2015</v>
      </c>
      <c r="G287" t="s">
        <v>2022</v>
      </c>
      <c r="H287" t="s">
        <v>2023</v>
      </c>
      <c r="I287">
        <v>38</v>
      </c>
      <c r="J287" t="s">
        <v>2033</v>
      </c>
      <c r="K287" t="s">
        <v>2036</v>
      </c>
    </row>
    <row r="288" spans="1:11" x14ac:dyDescent="0.3">
      <c r="A288" s="6" t="s">
        <v>297</v>
      </c>
      <c r="B288" t="s">
        <v>1296</v>
      </c>
      <c r="C288" t="s">
        <v>2008</v>
      </c>
      <c r="D288">
        <v>17</v>
      </c>
      <c r="E288" t="s">
        <v>2011</v>
      </c>
      <c r="F288" t="s">
        <v>2015</v>
      </c>
      <c r="G288" t="s">
        <v>2018</v>
      </c>
      <c r="H288" t="s">
        <v>2024</v>
      </c>
      <c r="I288">
        <v>59</v>
      </c>
      <c r="J288" t="s">
        <v>2026</v>
      </c>
      <c r="K288" t="s">
        <v>2035</v>
      </c>
    </row>
    <row r="289" spans="1:11" x14ac:dyDescent="0.3">
      <c r="A289" s="6" t="s">
        <v>298</v>
      </c>
      <c r="B289" t="s">
        <v>1297</v>
      </c>
      <c r="C289" t="s">
        <v>2007</v>
      </c>
      <c r="D289">
        <v>18</v>
      </c>
      <c r="E289" t="s">
        <v>2012</v>
      </c>
      <c r="F289" t="s">
        <v>2015</v>
      </c>
      <c r="G289" t="s">
        <v>2022</v>
      </c>
      <c r="H289" t="s">
        <v>2023</v>
      </c>
      <c r="I289">
        <v>37</v>
      </c>
      <c r="J289" t="s">
        <v>2031</v>
      </c>
      <c r="K289" t="s">
        <v>2036</v>
      </c>
    </row>
    <row r="290" spans="1:11" x14ac:dyDescent="0.3">
      <c r="A290" s="6" t="s">
        <v>299</v>
      </c>
      <c r="B290" t="s">
        <v>1298</v>
      </c>
      <c r="C290" t="s">
        <v>2007</v>
      </c>
      <c r="D290">
        <v>14</v>
      </c>
      <c r="E290" t="s">
        <v>2009</v>
      </c>
      <c r="F290" t="s">
        <v>2016</v>
      </c>
      <c r="G290" t="s">
        <v>2020</v>
      </c>
      <c r="H290" t="s">
        <v>2023</v>
      </c>
      <c r="I290">
        <v>87</v>
      </c>
      <c r="J290" t="s">
        <v>2032</v>
      </c>
      <c r="K290" t="s">
        <v>2035</v>
      </c>
    </row>
    <row r="291" spans="1:11" x14ac:dyDescent="0.3">
      <c r="A291" s="6" t="s">
        <v>300</v>
      </c>
      <c r="B291" t="s">
        <v>1299</v>
      </c>
      <c r="C291" t="s">
        <v>2008</v>
      </c>
      <c r="D291">
        <v>16</v>
      </c>
      <c r="E291" t="s">
        <v>2009</v>
      </c>
      <c r="F291" t="s">
        <v>2017</v>
      </c>
      <c r="G291" t="s">
        <v>2019</v>
      </c>
      <c r="H291" t="s">
        <v>2024</v>
      </c>
      <c r="I291">
        <v>33</v>
      </c>
      <c r="J291" t="s">
        <v>2026</v>
      </c>
      <c r="K291" t="s">
        <v>2036</v>
      </c>
    </row>
    <row r="292" spans="1:11" x14ac:dyDescent="0.3">
      <c r="A292" s="6" t="s">
        <v>301</v>
      </c>
      <c r="B292" t="s">
        <v>1300</v>
      </c>
      <c r="C292" t="s">
        <v>2007</v>
      </c>
      <c r="D292">
        <v>14</v>
      </c>
      <c r="E292" t="s">
        <v>2010</v>
      </c>
      <c r="F292" t="s">
        <v>2016</v>
      </c>
      <c r="G292" t="s">
        <v>2018</v>
      </c>
      <c r="H292" t="s">
        <v>2024</v>
      </c>
      <c r="I292">
        <v>88</v>
      </c>
      <c r="J292" t="s">
        <v>2027</v>
      </c>
      <c r="K292" t="s">
        <v>2035</v>
      </c>
    </row>
    <row r="293" spans="1:11" x14ac:dyDescent="0.3">
      <c r="A293" s="6" t="s">
        <v>302</v>
      </c>
      <c r="B293" t="s">
        <v>1301</v>
      </c>
      <c r="C293" t="s">
        <v>2008</v>
      </c>
      <c r="D293">
        <v>16</v>
      </c>
      <c r="E293" t="s">
        <v>2011</v>
      </c>
      <c r="F293" t="s">
        <v>2017</v>
      </c>
      <c r="G293" t="s">
        <v>2018</v>
      </c>
      <c r="H293" t="s">
        <v>2023</v>
      </c>
      <c r="I293">
        <v>23</v>
      </c>
      <c r="J293" t="s">
        <v>2028</v>
      </c>
      <c r="K293" t="s">
        <v>2036</v>
      </c>
    </row>
    <row r="294" spans="1:11" x14ac:dyDescent="0.3">
      <c r="A294" s="6" t="s">
        <v>303</v>
      </c>
      <c r="B294" t="s">
        <v>1302</v>
      </c>
      <c r="C294" t="s">
        <v>2007</v>
      </c>
      <c r="D294">
        <v>14</v>
      </c>
      <c r="E294" t="s">
        <v>2011</v>
      </c>
      <c r="F294" t="s">
        <v>2016</v>
      </c>
      <c r="G294" t="s">
        <v>2022</v>
      </c>
      <c r="H294" t="s">
        <v>2023</v>
      </c>
      <c r="I294">
        <v>36</v>
      </c>
      <c r="J294" t="s">
        <v>2027</v>
      </c>
      <c r="K294" t="s">
        <v>2036</v>
      </c>
    </row>
    <row r="295" spans="1:11" x14ac:dyDescent="0.3">
      <c r="A295" s="6" t="s">
        <v>304</v>
      </c>
      <c r="B295" t="s">
        <v>1303</v>
      </c>
      <c r="C295" t="s">
        <v>2008</v>
      </c>
      <c r="D295">
        <v>15</v>
      </c>
      <c r="E295" t="s">
        <v>2012</v>
      </c>
      <c r="F295" t="s">
        <v>2017</v>
      </c>
      <c r="G295" t="s">
        <v>2021</v>
      </c>
      <c r="H295" t="s">
        <v>2024</v>
      </c>
      <c r="I295">
        <v>36</v>
      </c>
      <c r="J295" t="s">
        <v>2029</v>
      </c>
      <c r="K295" t="s">
        <v>2036</v>
      </c>
    </row>
    <row r="296" spans="1:11" x14ac:dyDescent="0.3">
      <c r="A296" s="6" t="s">
        <v>305</v>
      </c>
      <c r="B296" t="s">
        <v>1304</v>
      </c>
      <c r="C296" t="s">
        <v>2007</v>
      </c>
      <c r="D296">
        <v>14</v>
      </c>
      <c r="E296" t="s">
        <v>2012</v>
      </c>
      <c r="F296" t="s">
        <v>2015</v>
      </c>
      <c r="G296" t="s">
        <v>2022</v>
      </c>
      <c r="H296" t="s">
        <v>2024</v>
      </c>
      <c r="I296">
        <v>69</v>
      </c>
      <c r="J296" t="s">
        <v>2030</v>
      </c>
      <c r="K296" t="s">
        <v>2035</v>
      </c>
    </row>
    <row r="297" spans="1:11" x14ac:dyDescent="0.3">
      <c r="A297" s="6" t="s">
        <v>306</v>
      </c>
      <c r="B297" t="s">
        <v>1305</v>
      </c>
      <c r="C297" t="s">
        <v>2007</v>
      </c>
      <c r="D297">
        <v>14</v>
      </c>
      <c r="E297" t="s">
        <v>2012</v>
      </c>
      <c r="F297" t="s">
        <v>2015</v>
      </c>
      <c r="G297" t="s">
        <v>2021</v>
      </c>
      <c r="H297" t="s">
        <v>2024</v>
      </c>
      <c r="I297">
        <v>87</v>
      </c>
      <c r="J297" t="s">
        <v>2028</v>
      </c>
      <c r="K297" t="s">
        <v>2035</v>
      </c>
    </row>
    <row r="298" spans="1:11" x14ac:dyDescent="0.3">
      <c r="A298" s="6" t="s">
        <v>307</v>
      </c>
      <c r="B298" t="s">
        <v>1306</v>
      </c>
      <c r="C298" t="s">
        <v>2008</v>
      </c>
      <c r="D298">
        <v>14</v>
      </c>
      <c r="E298" t="s">
        <v>2009</v>
      </c>
      <c r="F298" t="s">
        <v>2016</v>
      </c>
      <c r="G298" t="s">
        <v>2018</v>
      </c>
      <c r="H298" t="s">
        <v>2023</v>
      </c>
      <c r="I298">
        <v>64</v>
      </c>
      <c r="J298" t="s">
        <v>2034</v>
      </c>
      <c r="K298" t="s">
        <v>2035</v>
      </c>
    </row>
    <row r="299" spans="1:11" x14ac:dyDescent="0.3">
      <c r="A299" s="6" t="s">
        <v>308</v>
      </c>
      <c r="B299" t="s">
        <v>1307</v>
      </c>
      <c r="C299" t="s">
        <v>2008</v>
      </c>
      <c r="D299">
        <v>16</v>
      </c>
      <c r="E299" t="s">
        <v>2013</v>
      </c>
      <c r="F299" t="s">
        <v>2016</v>
      </c>
      <c r="G299" t="s">
        <v>2021</v>
      </c>
      <c r="H299" t="s">
        <v>2023</v>
      </c>
      <c r="I299">
        <v>96</v>
      </c>
      <c r="J299" t="s">
        <v>2034</v>
      </c>
      <c r="K299" t="s">
        <v>2035</v>
      </c>
    </row>
    <row r="300" spans="1:11" x14ac:dyDescent="0.3">
      <c r="A300" s="6" t="s">
        <v>309</v>
      </c>
      <c r="B300" t="s">
        <v>1308</v>
      </c>
      <c r="C300" t="s">
        <v>2007</v>
      </c>
      <c r="D300">
        <v>15</v>
      </c>
      <c r="E300" t="s">
        <v>2009</v>
      </c>
      <c r="F300" t="s">
        <v>2016</v>
      </c>
      <c r="G300" t="s">
        <v>2021</v>
      </c>
      <c r="H300" t="s">
        <v>2023</v>
      </c>
      <c r="I300">
        <v>55</v>
      </c>
      <c r="J300" t="s">
        <v>2030</v>
      </c>
      <c r="K300" t="s">
        <v>2035</v>
      </c>
    </row>
    <row r="301" spans="1:11" x14ac:dyDescent="0.3">
      <c r="A301" s="6" t="s">
        <v>310</v>
      </c>
      <c r="B301" t="s">
        <v>1309</v>
      </c>
      <c r="C301" t="s">
        <v>2008</v>
      </c>
      <c r="D301">
        <v>17</v>
      </c>
      <c r="E301" t="s">
        <v>2010</v>
      </c>
      <c r="F301" t="s">
        <v>2014</v>
      </c>
      <c r="G301" t="s">
        <v>2020</v>
      </c>
      <c r="H301" t="s">
        <v>2024</v>
      </c>
      <c r="I301">
        <v>37</v>
      </c>
      <c r="J301" t="s">
        <v>2032</v>
      </c>
      <c r="K301" t="s">
        <v>2036</v>
      </c>
    </row>
    <row r="302" spans="1:11" x14ac:dyDescent="0.3">
      <c r="A302" s="6" t="s">
        <v>311</v>
      </c>
      <c r="B302" t="s">
        <v>1310</v>
      </c>
      <c r="C302" t="s">
        <v>2008</v>
      </c>
      <c r="D302">
        <v>18</v>
      </c>
      <c r="E302" t="s">
        <v>2011</v>
      </c>
      <c r="F302" t="s">
        <v>2017</v>
      </c>
      <c r="G302" t="s">
        <v>2020</v>
      </c>
      <c r="H302" t="s">
        <v>2023</v>
      </c>
      <c r="I302">
        <v>47</v>
      </c>
      <c r="J302" t="s">
        <v>2032</v>
      </c>
      <c r="K302" t="s">
        <v>2036</v>
      </c>
    </row>
    <row r="303" spans="1:11" x14ac:dyDescent="0.3">
      <c r="A303" s="6" t="s">
        <v>312</v>
      </c>
      <c r="B303" t="s">
        <v>1311</v>
      </c>
      <c r="C303" t="s">
        <v>2007</v>
      </c>
      <c r="D303">
        <v>15</v>
      </c>
      <c r="E303" t="s">
        <v>2011</v>
      </c>
      <c r="F303" t="s">
        <v>2017</v>
      </c>
      <c r="G303" t="s">
        <v>2021</v>
      </c>
      <c r="H303" t="s">
        <v>2024</v>
      </c>
      <c r="I303">
        <v>82</v>
      </c>
      <c r="J303" t="s">
        <v>2030</v>
      </c>
      <c r="K303" t="s">
        <v>2035</v>
      </c>
    </row>
    <row r="304" spans="1:11" x14ac:dyDescent="0.3">
      <c r="A304" s="6" t="s">
        <v>313</v>
      </c>
      <c r="B304" t="s">
        <v>1312</v>
      </c>
      <c r="C304" t="s">
        <v>2008</v>
      </c>
      <c r="D304">
        <v>15</v>
      </c>
      <c r="E304" t="s">
        <v>2011</v>
      </c>
      <c r="F304" t="s">
        <v>2016</v>
      </c>
      <c r="G304" t="s">
        <v>2019</v>
      </c>
      <c r="H304" t="s">
        <v>2024</v>
      </c>
      <c r="I304">
        <v>87</v>
      </c>
      <c r="J304" t="s">
        <v>2028</v>
      </c>
      <c r="K304" t="s">
        <v>2035</v>
      </c>
    </row>
    <row r="305" spans="1:11" x14ac:dyDescent="0.3">
      <c r="A305" s="6" t="s">
        <v>314</v>
      </c>
      <c r="B305" t="s">
        <v>1313</v>
      </c>
      <c r="C305" t="s">
        <v>2007</v>
      </c>
      <c r="D305">
        <v>18</v>
      </c>
      <c r="E305" t="s">
        <v>2011</v>
      </c>
      <c r="F305" t="s">
        <v>2017</v>
      </c>
      <c r="G305" t="s">
        <v>2020</v>
      </c>
      <c r="H305" t="s">
        <v>2023</v>
      </c>
      <c r="I305">
        <v>64</v>
      </c>
      <c r="J305" t="s">
        <v>2025</v>
      </c>
      <c r="K305" t="s">
        <v>2035</v>
      </c>
    </row>
    <row r="306" spans="1:11" x14ac:dyDescent="0.3">
      <c r="A306" s="6" t="s">
        <v>315</v>
      </c>
      <c r="B306" t="s">
        <v>1314</v>
      </c>
      <c r="C306" t="s">
        <v>2007</v>
      </c>
      <c r="D306">
        <v>14</v>
      </c>
      <c r="E306" t="s">
        <v>2010</v>
      </c>
      <c r="F306" t="s">
        <v>2017</v>
      </c>
      <c r="G306" t="s">
        <v>2020</v>
      </c>
      <c r="H306" t="s">
        <v>2024</v>
      </c>
      <c r="I306">
        <v>76</v>
      </c>
      <c r="J306" t="s">
        <v>2029</v>
      </c>
      <c r="K306" t="s">
        <v>2035</v>
      </c>
    </row>
    <row r="307" spans="1:11" x14ac:dyDescent="0.3">
      <c r="A307" s="6" t="s">
        <v>316</v>
      </c>
      <c r="B307" t="s">
        <v>1315</v>
      </c>
      <c r="C307" t="s">
        <v>2007</v>
      </c>
      <c r="D307">
        <v>17</v>
      </c>
      <c r="E307" t="s">
        <v>2009</v>
      </c>
      <c r="F307" t="s">
        <v>2014</v>
      </c>
      <c r="G307" t="s">
        <v>2019</v>
      </c>
      <c r="H307" t="s">
        <v>2024</v>
      </c>
      <c r="I307">
        <v>27</v>
      </c>
      <c r="J307" t="s">
        <v>2034</v>
      </c>
      <c r="K307" t="s">
        <v>2036</v>
      </c>
    </row>
    <row r="308" spans="1:11" x14ac:dyDescent="0.3">
      <c r="A308" s="6" t="s">
        <v>317</v>
      </c>
      <c r="B308" t="s">
        <v>1316</v>
      </c>
      <c r="C308" t="s">
        <v>2007</v>
      </c>
      <c r="D308">
        <v>14</v>
      </c>
      <c r="E308" t="s">
        <v>2010</v>
      </c>
      <c r="F308" t="s">
        <v>2017</v>
      </c>
      <c r="G308" t="s">
        <v>2018</v>
      </c>
      <c r="H308" t="s">
        <v>2023</v>
      </c>
      <c r="I308">
        <v>43</v>
      </c>
      <c r="J308" t="s">
        <v>2032</v>
      </c>
      <c r="K308" t="s">
        <v>2036</v>
      </c>
    </row>
    <row r="309" spans="1:11" x14ac:dyDescent="0.3">
      <c r="A309" s="6" t="s">
        <v>318</v>
      </c>
      <c r="B309" t="s">
        <v>1317</v>
      </c>
      <c r="C309" t="s">
        <v>2007</v>
      </c>
      <c r="D309">
        <v>15</v>
      </c>
      <c r="E309" t="s">
        <v>2010</v>
      </c>
      <c r="F309" t="s">
        <v>2015</v>
      </c>
      <c r="G309" t="s">
        <v>2022</v>
      </c>
      <c r="H309" t="s">
        <v>2023</v>
      </c>
      <c r="I309">
        <v>74</v>
      </c>
      <c r="J309" t="s">
        <v>2033</v>
      </c>
      <c r="K309" t="s">
        <v>2035</v>
      </c>
    </row>
    <row r="310" spans="1:11" x14ac:dyDescent="0.3">
      <c r="A310" s="6" t="s">
        <v>319</v>
      </c>
      <c r="B310" t="s">
        <v>1318</v>
      </c>
      <c r="C310" t="s">
        <v>2008</v>
      </c>
      <c r="D310">
        <v>16</v>
      </c>
      <c r="E310" t="s">
        <v>2010</v>
      </c>
      <c r="F310" t="s">
        <v>2014</v>
      </c>
      <c r="G310" t="s">
        <v>2022</v>
      </c>
      <c r="H310" t="s">
        <v>2023</v>
      </c>
      <c r="I310">
        <v>23</v>
      </c>
      <c r="J310" t="s">
        <v>2026</v>
      </c>
      <c r="K310" t="s">
        <v>2036</v>
      </c>
    </row>
    <row r="311" spans="1:11" x14ac:dyDescent="0.3">
      <c r="A311" s="6" t="s">
        <v>320</v>
      </c>
      <c r="B311" t="s">
        <v>1319</v>
      </c>
      <c r="C311" t="s">
        <v>2008</v>
      </c>
      <c r="D311">
        <v>17</v>
      </c>
      <c r="E311" t="s">
        <v>2010</v>
      </c>
      <c r="F311" t="s">
        <v>2017</v>
      </c>
      <c r="G311" t="s">
        <v>2018</v>
      </c>
      <c r="H311" t="s">
        <v>2024</v>
      </c>
      <c r="I311">
        <v>87</v>
      </c>
      <c r="J311" t="s">
        <v>2027</v>
      </c>
      <c r="K311" t="s">
        <v>2035</v>
      </c>
    </row>
    <row r="312" spans="1:11" x14ac:dyDescent="0.3">
      <c r="A312" s="6" t="s">
        <v>321</v>
      </c>
      <c r="B312" t="s">
        <v>1320</v>
      </c>
      <c r="C312" t="s">
        <v>2007</v>
      </c>
      <c r="D312">
        <v>14</v>
      </c>
      <c r="E312" t="s">
        <v>2010</v>
      </c>
      <c r="F312" t="s">
        <v>2017</v>
      </c>
      <c r="G312" t="s">
        <v>2019</v>
      </c>
      <c r="H312" t="s">
        <v>2023</v>
      </c>
      <c r="I312">
        <v>43</v>
      </c>
      <c r="J312" t="s">
        <v>2025</v>
      </c>
      <c r="K312" t="s">
        <v>2036</v>
      </c>
    </row>
    <row r="313" spans="1:11" x14ac:dyDescent="0.3">
      <c r="A313" s="6" t="s">
        <v>322</v>
      </c>
      <c r="B313" t="s">
        <v>1321</v>
      </c>
      <c r="C313" t="s">
        <v>2008</v>
      </c>
      <c r="D313">
        <v>14</v>
      </c>
      <c r="E313" t="s">
        <v>2009</v>
      </c>
      <c r="F313" t="s">
        <v>2014</v>
      </c>
      <c r="G313" t="s">
        <v>2021</v>
      </c>
      <c r="H313" t="s">
        <v>2024</v>
      </c>
      <c r="I313">
        <v>5</v>
      </c>
      <c r="J313" t="s">
        <v>2026</v>
      </c>
      <c r="K313" t="s">
        <v>2036</v>
      </c>
    </row>
    <row r="314" spans="1:11" x14ac:dyDescent="0.3">
      <c r="A314" s="6" t="s">
        <v>323</v>
      </c>
      <c r="B314" t="s">
        <v>1322</v>
      </c>
      <c r="C314" t="s">
        <v>2007</v>
      </c>
      <c r="D314">
        <v>16</v>
      </c>
      <c r="E314" t="s">
        <v>2013</v>
      </c>
      <c r="F314" t="s">
        <v>2016</v>
      </c>
      <c r="G314" t="s">
        <v>2021</v>
      </c>
      <c r="H314" t="s">
        <v>2023</v>
      </c>
      <c r="I314">
        <v>57</v>
      </c>
      <c r="J314" t="s">
        <v>2025</v>
      </c>
      <c r="K314" t="s">
        <v>2035</v>
      </c>
    </row>
    <row r="315" spans="1:11" x14ac:dyDescent="0.3">
      <c r="A315" s="6" t="s">
        <v>324</v>
      </c>
      <c r="B315" t="s">
        <v>1323</v>
      </c>
      <c r="C315" t="s">
        <v>2008</v>
      </c>
      <c r="D315">
        <v>18</v>
      </c>
      <c r="E315" t="s">
        <v>2013</v>
      </c>
      <c r="F315" t="s">
        <v>2014</v>
      </c>
      <c r="G315" t="s">
        <v>2019</v>
      </c>
      <c r="H315" t="s">
        <v>2023</v>
      </c>
      <c r="I315">
        <v>26</v>
      </c>
      <c r="J315" t="s">
        <v>2032</v>
      </c>
      <c r="K315" t="s">
        <v>2036</v>
      </c>
    </row>
    <row r="316" spans="1:11" x14ac:dyDescent="0.3">
      <c r="A316" s="6" t="s">
        <v>325</v>
      </c>
      <c r="B316" t="s">
        <v>1324</v>
      </c>
      <c r="C316" t="s">
        <v>2007</v>
      </c>
      <c r="D316">
        <v>17</v>
      </c>
      <c r="E316" t="s">
        <v>2013</v>
      </c>
      <c r="F316" t="s">
        <v>2016</v>
      </c>
      <c r="G316" t="s">
        <v>2022</v>
      </c>
      <c r="H316" t="s">
        <v>2024</v>
      </c>
      <c r="I316">
        <v>85</v>
      </c>
      <c r="J316" t="s">
        <v>2033</v>
      </c>
      <c r="K316" t="s">
        <v>2035</v>
      </c>
    </row>
    <row r="317" spans="1:11" x14ac:dyDescent="0.3">
      <c r="A317" s="6" t="s">
        <v>326</v>
      </c>
      <c r="B317" t="s">
        <v>1325</v>
      </c>
      <c r="C317" t="s">
        <v>2007</v>
      </c>
      <c r="D317">
        <v>18</v>
      </c>
      <c r="E317" t="s">
        <v>2012</v>
      </c>
      <c r="F317" t="s">
        <v>2015</v>
      </c>
      <c r="G317" t="s">
        <v>2020</v>
      </c>
      <c r="H317" t="s">
        <v>2023</v>
      </c>
      <c r="I317">
        <v>96</v>
      </c>
      <c r="J317" t="s">
        <v>2030</v>
      </c>
      <c r="K317" t="s">
        <v>2035</v>
      </c>
    </row>
    <row r="318" spans="1:11" x14ac:dyDescent="0.3">
      <c r="A318" s="6" t="s">
        <v>327</v>
      </c>
      <c r="B318" t="s">
        <v>1326</v>
      </c>
      <c r="C318" t="s">
        <v>2007</v>
      </c>
      <c r="D318">
        <v>15</v>
      </c>
      <c r="E318" t="s">
        <v>2013</v>
      </c>
      <c r="F318" t="s">
        <v>2017</v>
      </c>
      <c r="G318" t="s">
        <v>2018</v>
      </c>
      <c r="H318" t="s">
        <v>2023</v>
      </c>
      <c r="I318">
        <v>17</v>
      </c>
      <c r="J318" t="s">
        <v>2025</v>
      </c>
      <c r="K318" t="s">
        <v>2036</v>
      </c>
    </row>
    <row r="319" spans="1:11" x14ac:dyDescent="0.3">
      <c r="A319" s="6" t="s">
        <v>328</v>
      </c>
      <c r="B319" t="s">
        <v>1327</v>
      </c>
      <c r="C319" t="s">
        <v>2007</v>
      </c>
      <c r="D319">
        <v>18</v>
      </c>
      <c r="E319" t="s">
        <v>2013</v>
      </c>
      <c r="F319" t="s">
        <v>2014</v>
      </c>
      <c r="G319" t="s">
        <v>2018</v>
      </c>
      <c r="H319" t="s">
        <v>2023</v>
      </c>
      <c r="I319">
        <v>22</v>
      </c>
      <c r="J319" t="s">
        <v>2027</v>
      </c>
      <c r="K319" t="s">
        <v>2036</v>
      </c>
    </row>
    <row r="320" spans="1:11" x14ac:dyDescent="0.3">
      <c r="A320" s="6" t="s">
        <v>329</v>
      </c>
      <c r="B320" t="s">
        <v>1328</v>
      </c>
      <c r="C320" t="s">
        <v>2008</v>
      </c>
      <c r="D320">
        <v>15</v>
      </c>
      <c r="E320" t="s">
        <v>2011</v>
      </c>
      <c r="F320" t="s">
        <v>2017</v>
      </c>
      <c r="G320" t="s">
        <v>2020</v>
      </c>
      <c r="H320" t="s">
        <v>2024</v>
      </c>
      <c r="I320">
        <v>84</v>
      </c>
      <c r="J320" t="s">
        <v>2028</v>
      </c>
      <c r="K320" t="s">
        <v>2035</v>
      </c>
    </row>
    <row r="321" spans="1:11" x14ac:dyDescent="0.3">
      <c r="A321" s="6" t="s">
        <v>330</v>
      </c>
      <c r="B321" t="s">
        <v>1329</v>
      </c>
      <c r="C321" t="s">
        <v>2007</v>
      </c>
      <c r="D321">
        <v>14</v>
      </c>
      <c r="E321" t="s">
        <v>2013</v>
      </c>
      <c r="F321" t="s">
        <v>2016</v>
      </c>
      <c r="G321" t="s">
        <v>2020</v>
      </c>
      <c r="H321" t="s">
        <v>2023</v>
      </c>
      <c r="I321">
        <v>76</v>
      </c>
      <c r="J321" t="s">
        <v>2030</v>
      </c>
      <c r="K321" t="s">
        <v>2035</v>
      </c>
    </row>
    <row r="322" spans="1:11" x14ac:dyDescent="0.3">
      <c r="A322" s="6" t="s">
        <v>331</v>
      </c>
      <c r="B322" t="s">
        <v>1330</v>
      </c>
      <c r="C322" t="s">
        <v>2007</v>
      </c>
      <c r="D322">
        <v>15</v>
      </c>
      <c r="E322" t="s">
        <v>2013</v>
      </c>
      <c r="F322" t="s">
        <v>2014</v>
      </c>
      <c r="G322" t="s">
        <v>2022</v>
      </c>
      <c r="H322" t="s">
        <v>2023</v>
      </c>
      <c r="I322">
        <v>50</v>
      </c>
      <c r="J322" t="s">
        <v>2029</v>
      </c>
      <c r="K322" t="s">
        <v>2035</v>
      </c>
    </row>
    <row r="323" spans="1:11" x14ac:dyDescent="0.3">
      <c r="A323" s="6" t="s">
        <v>332</v>
      </c>
      <c r="B323" t="s">
        <v>1331</v>
      </c>
      <c r="C323" t="s">
        <v>2007</v>
      </c>
      <c r="D323">
        <v>16</v>
      </c>
      <c r="E323" t="s">
        <v>2012</v>
      </c>
      <c r="F323" t="s">
        <v>2016</v>
      </c>
      <c r="G323" t="s">
        <v>2019</v>
      </c>
      <c r="H323" t="s">
        <v>2023</v>
      </c>
      <c r="I323">
        <v>95</v>
      </c>
      <c r="J323" t="s">
        <v>2029</v>
      </c>
      <c r="K323" t="s">
        <v>2035</v>
      </c>
    </row>
    <row r="324" spans="1:11" x14ac:dyDescent="0.3">
      <c r="A324" s="6" t="s">
        <v>333</v>
      </c>
      <c r="B324" t="s">
        <v>1332</v>
      </c>
      <c r="C324" t="s">
        <v>2007</v>
      </c>
      <c r="D324">
        <v>17</v>
      </c>
      <c r="E324" t="s">
        <v>2012</v>
      </c>
      <c r="F324" t="s">
        <v>2015</v>
      </c>
      <c r="G324" t="s">
        <v>2021</v>
      </c>
      <c r="H324" t="s">
        <v>2023</v>
      </c>
      <c r="I324">
        <v>35</v>
      </c>
      <c r="J324" t="s">
        <v>2034</v>
      </c>
      <c r="K324" t="s">
        <v>2036</v>
      </c>
    </row>
    <row r="325" spans="1:11" x14ac:dyDescent="0.3">
      <c r="A325" s="6" t="s">
        <v>334</v>
      </c>
      <c r="B325" t="s">
        <v>1333</v>
      </c>
      <c r="C325" t="s">
        <v>2008</v>
      </c>
      <c r="D325">
        <v>14</v>
      </c>
      <c r="E325" t="s">
        <v>2009</v>
      </c>
      <c r="F325" t="s">
        <v>2014</v>
      </c>
      <c r="G325" t="s">
        <v>2020</v>
      </c>
      <c r="H325" t="s">
        <v>2023</v>
      </c>
      <c r="I325">
        <v>11</v>
      </c>
      <c r="J325" t="s">
        <v>2029</v>
      </c>
      <c r="K325" t="s">
        <v>2036</v>
      </c>
    </row>
    <row r="326" spans="1:11" x14ac:dyDescent="0.3">
      <c r="A326" s="6" t="s">
        <v>335</v>
      </c>
      <c r="B326" t="s">
        <v>1334</v>
      </c>
      <c r="C326" t="s">
        <v>2007</v>
      </c>
      <c r="D326">
        <v>14</v>
      </c>
      <c r="E326" t="s">
        <v>2009</v>
      </c>
      <c r="F326" t="s">
        <v>2017</v>
      </c>
      <c r="G326" t="s">
        <v>2022</v>
      </c>
      <c r="H326" t="s">
        <v>2024</v>
      </c>
      <c r="I326">
        <v>23</v>
      </c>
      <c r="J326" t="s">
        <v>2034</v>
      </c>
      <c r="K326" t="s">
        <v>2036</v>
      </c>
    </row>
    <row r="327" spans="1:11" x14ac:dyDescent="0.3">
      <c r="A327" s="6" t="s">
        <v>336</v>
      </c>
      <c r="B327" t="s">
        <v>1335</v>
      </c>
      <c r="C327" t="s">
        <v>2007</v>
      </c>
      <c r="D327">
        <v>18</v>
      </c>
      <c r="E327" t="s">
        <v>2013</v>
      </c>
      <c r="F327" t="s">
        <v>2017</v>
      </c>
      <c r="G327" t="s">
        <v>2021</v>
      </c>
      <c r="H327" t="s">
        <v>2023</v>
      </c>
      <c r="I327">
        <v>67</v>
      </c>
      <c r="J327" t="s">
        <v>2028</v>
      </c>
      <c r="K327" t="s">
        <v>2035</v>
      </c>
    </row>
    <row r="328" spans="1:11" x14ac:dyDescent="0.3">
      <c r="A328" s="6" t="s">
        <v>337</v>
      </c>
      <c r="B328" t="s">
        <v>1336</v>
      </c>
      <c r="C328" t="s">
        <v>2007</v>
      </c>
      <c r="D328">
        <v>14</v>
      </c>
      <c r="E328" t="s">
        <v>2012</v>
      </c>
      <c r="F328" t="s">
        <v>2016</v>
      </c>
      <c r="G328" t="s">
        <v>2019</v>
      </c>
      <c r="H328" t="s">
        <v>2023</v>
      </c>
      <c r="I328">
        <v>14</v>
      </c>
      <c r="J328" t="s">
        <v>2033</v>
      </c>
      <c r="K328" t="s">
        <v>2036</v>
      </c>
    </row>
    <row r="329" spans="1:11" x14ac:dyDescent="0.3">
      <c r="A329" s="6" t="s">
        <v>338</v>
      </c>
      <c r="B329" t="s">
        <v>1337</v>
      </c>
      <c r="C329" t="s">
        <v>2008</v>
      </c>
      <c r="D329">
        <v>17</v>
      </c>
      <c r="E329" t="s">
        <v>2009</v>
      </c>
      <c r="F329" t="s">
        <v>2016</v>
      </c>
      <c r="G329" t="s">
        <v>2020</v>
      </c>
      <c r="H329" t="s">
        <v>2024</v>
      </c>
      <c r="I329">
        <v>99</v>
      </c>
      <c r="J329" t="s">
        <v>2027</v>
      </c>
      <c r="K329" t="s">
        <v>2035</v>
      </c>
    </row>
    <row r="330" spans="1:11" x14ac:dyDescent="0.3">
      <c r="A330" s="6" t="s">
        <v>339</v>
      </c>
      <c r="B330" t="s">
        <v>1338</v>
      </c>
      <c r="C330" t="s">
        <v>2008</v>
      </c>
      <c r="D330">
        <v>15</v>
      </c>
      <c r="E330" t="s">
        <v>2009</v>
      </c>
      <c r="F330" t="s">
        <v>2014</v>
      </c>
      <c r="G330" t="s">
        <v>2021</v>
      </c>
      <c r="H330" t="s">
        <v>2023</v>
      </c>
      <c r="I330">
        <v>8</v>
      </c>
      <c r="J330" t="s">
        <v>2028</v>
      </c>
      <c r="K330" t="s">
        <v>2036</v>
      </c>
    </row>
    <row r="331" spans="1:11" x14ac:dyDescent="0.3">
      <c r="A331" s="6" t="s">
        <v>340</v>
      </c>
      <c r="B331" t="s">
        <v>1339</v>
      </c>
      <c r="C331" t="s">
        <v>2007</v>
      </c>
      <c r="D331">
        <v>14</v>
      </c>
      <c r="E331" t="s">
        <v>2010</v>
      </c>
      <c r="F331" t="s">
        <v>2014</v>
      </c>
      <c r="G331" t="s">
        <v>2019</v>
      </c>
      <c r="H331" t="s">
        <v>2024</v>
      </c>
      <c r="I331">
        <v>93</v>
      </c>
      <c r="J331" t="s">
        <v>2034</v>
      </c>
      <c r="K331" t="s">
        <v>2035</v>
      </c>
    </row>
    <row r="332" spans="1:11" x14ac:dyDescent="0.3">
      <c r="A332" s="6" t="s">
        <v>341</v>
      </c>
      <c r="B332" t="s">
        <v>1340</v>
      </c>
      <c r="C332" t="s">
        <v>2007</v>
      </c>
      <c r="D332">
        <v>14</v>
      </c>
      <c r="E332" t="s">
        <v>2010</v>
      </c>
      <c r="F332" t="s">
        <v>2016</v>
      </c>
      <c r="G332" t="s">
        <v>2021</v>
      </c>
      <c r="H332" t="s">
        <v>2024</v>
      </c>
      <c r="I332">
        <v>36</v>
      </c>
      <c r="J332" t="s">
        <v>2030</v>
      </c>
      <c r="K332" t="s">
        <v>2036</v>
      </c>
    </row>
    <row r="333" spans="1:11" x14ac:dyDescent="0.3">
      <c r="A333" s="6" t="s">
        <v>342</v>
      </c>
      <c r="B333" t="s">
        <v>1341</v>
      </c>
      <c r="C333" t="s">
        <v>2007</v>
      </c>
      <c r="D333">
        <v>14</v>
      </c>
      <c r="E333" t="s">
        <v>2011</v>
      </c>
      <c r="F333" t="s">
        <v>2016</v>
      </c>
      <c r="G333" t="s">
        <v>2021</v>
      </c>
      <c r="H333" t="s">
        <v>2024</v>
      </c>
      <c r="I333">
        <v>61</v>
      </c>
      <c r="J333" t="s">
        <v>2030</v>
      </c>
      <c r="K333" t="s">
        <v>2035</v>
      </c>
    </row>
    <row r="334" spans="1:11" x14ac:dyDescent="0.3">
      <c r="A334" s="6" t="s">
        <v>343</v>
      </c>
      <c r="B334" t="s">
        <v>1342</v>
      </c>
      <c r="C334" t="s">
        <v>2007</v>
      </c>
      <c r="D334">
        <v>15</v>
      </c>
      <c r="E334" t="s">
        <v>2011</v>
      </c>
      <c r="F334" t="s">
        <v>2014</v>
      </c>
      <c r="G334" t="s">
        <v>2018</v>
      </c>
      <c r="H334" t="s">
        <v>2023</v>
      </c>
      <c r="I334">
        <v>19</v>
      </c>
      <c r="J334" t="s">
        <v>2028</v>
      </c>
      <c r="K334" t="s">
        <v>2036</v>
      </c>
    </row>
    <row r="335" spans="1:11" x14ac:dyDescent="0.3">
      <c r="A335" s="6" t="s">
        <v>344</v>
      </c>
      <c r="B335" t="s">
        <v>1343</v>
      </c>
      <c r="C335" t="s">
        <v>2007</v>
      </c>
      <c r="D335">
        <v>16</v>
      </c>
      <c r="E335" t="s">
        <v>2010</v>
      </c>
      <c r="F335" t="s">
        <v>2015</v>
      </c>
      <c r="G335" t="s">
        <v>2021</v>
      </c>
      <c r="H335" t="s">
        <v>2024</v>
      </c>
      <c r="I335">
        <v>3</v>
      </c>
      <c r="J335" t="s">
        <v>2028</v>
      </c>
      <c r="K335" t="s">
        <v>2036</v>
      </c>
    </row>
    <row r="336" spans="1:11" x14ac:dyDescent="0.3">
      <c r="A336" s="6" t="s">
        <v>345</v>
      </c>
      <c r="B336" t="s">
        <v>1344</v>
      </c>
      <c r="C336" t="s">
        <v>2008</v>
      </c>
      <c r="D336">
        <v>15</v>
      </c>
      <c r="E336" t="s">
        <v>2012</v>
      </c>
      <c r="F336" t="s">
        <v>2015</v>
      </c>
      <c r="G336" t="s">
        <v>2018</v>
      </c>
      <c r="H336" t="s">
        <v>2023</v>
      </c>
      <c r="I336">
        <v>21</v>
      </c>
      <c r="J336" t="s">
        <v>2032</v>
      </c>
      <c r="K336" t="s">
        <v>2036</v>
      </c>
    </row>
    <row r="337" spans="1:11" x14ac:dyDescent="0.3">
      <c r="A337" s="6" t="s">
        <v>346</v>
      </c>
      <c r="B337" t="s">
        <v>1345</v>
      </c>
      <c r="C337" t="s">
        <v>2008</v>
      </c>
      <c r="D337">
        <v>16</v>
      </c>
      <c r="E337" t="s">
        <v>2009</v>
      </c>
      <c r="F337" t="s">
        <v>2014</v>
      </c>
      <c r="G337" t="s">
        <v>2020</v>
      </c>
      <c r="H337" t="s">
        <v>2023</v>
      </c>
      <c r="I337">
        <v>43</v>
      </c>
      <c r="J337" t="s">
        <v>2032</v>
      </c>
      <c r="K337" t="s">
        <v>2036</v>
      </c>
    </row>
    <row r="338" spans="1:11" x14ac:dyDescent="0.3">
      <c r="A338" s="6" t="s">
        <v>347</v>
      </c>
      <c r="B338" t="s">
        <v>1346</v>
      </c>
      <c r="C338" t="s">
        <v>2008</v>
      </c>
      <c r="D338">
        <v>17</v>
      </c>
      <c r="E338" t="s">
        <v>2012</v>
      </c>
      <c r="F338" t="s">
        <v>2015</v>
      </c>
      <c r="G338" t="s">
        <v>2020</v>
      </c>
      <c r="H338" t="s">
        <v>2024</v>
      </c>
      <c r="I338">
        <v>48</v>
      </c>
      <c r="J338" t="s">
        <v>2026</v>
      </c>
      <c r="K338" t="s">
        <v>2036</v>
      </c>
    </row>
    <row r="339" spans="1:11" x14ac:dyDescent="0.3">
      <c r="A339" s="6" t="s">
        <v>348</v>
      </c>
      <c r="B339" t="s">
        <v>1347</v>
      </c>
      <c r="C339" t="s">
        <v>2007</v>
      </c>
      <c r="D339">
        <v>16</v>
      </c>
      <c r="E339" t="s">
        <v>2010</v>
      </c>
      <c r="F339" t="s">
        <v>2017</v>
      </c>
      <c r="G339" t="s">
        <v>2018</v>
      </c>
      <c r="H339" t="s">
        <v>2024</v>
      </c>
      <c r="I339">
        <v>72</v>
      </c>
      <c r="J339" t="s">
        <v>2027</v>
      </c>
      <c r="K339" t="s">
        <v>2035</v>
      </c>
    </row>
    <row r="340" spans="1:11" x14ac:dyDescent="0.3">
      <c r="A340" s="6" t="s">
        <v>349</v>
      </c>
      <c r="B340" t="s">
        <v>1348</v>
      </c>
      <c r="C340" t="s">
        <v>2008</v>
      </c>
      <c r="D340">
        <v>15</v>
      </c>
      <c r="E340" t="s">
        <v>2011</v>
      </c>
      <c r="F340" t="s">
        <v>2014</v>
      </c>
      <c r="G340" t="s">
        <v>2022</v>
      </c>
      <c r="H340" t="s">
        <v>2024</v>
      </c>
      <c r="I340">
        <v>0</v>
      </c>
      <c r="J340" t="s">
        <v>2032</v>
      </c>
      <c r="K340" t="s">
        <v>2036</v>
      </c>
    </row>
    <row r="341" spans="1:11" x14ac:dyDescent="0.3">
      <c r="A341" s="6" t="s">
        <v>350</v>
      </c>
      <c r="B341" t="s">
        <v>1349</v>
      </c>
      <c r="C341" t="s">
        <v>2007</v>
      </c>
      <c r="D341">
        <v>17</v>
      </c>
      <c r="E341" t="s">
        <v>2013</v>
      </c>
      <c r="F341" t="s">
        <v>2014</v>
      </c>
      <c r="G341" t="s">
        <v>2018</v>
      </c>
      <c r="H341" t="s">
        <v>2024</v>
      </c>
      <c r="I341">
        <v>73</v>
      </c>
      <c r="J341" t="s">
        <v>2033</v>
      </c>
      <c r="K341" t="s">
        <v>2035</v>
      </c>
    </row>
    <row r="342" spans="1:11" x14ac:dyDescent="0.3">
      <c r="A342" s="6" t="s">
        <v>351</v>
      </c>
      <c r="B342" t="s">
        <v>1350</v>
      </c>
      <c r="C342" t="s">
        <v>2007</v>
      </c>
      <c r="D342">
        <v>18</v>
      </c>
      <c r="E342" t="s">
        <v>2010</v>
      </c>
      <c r="F342" t="s">
        <v>2017</v>
      </c>
      <c r="G342" t="s">
        <v>2021</v>
      </c>
      <c r="H342" t="s">
        <v>2024</v>
      </c>
      <c r="I342">
        <v>94</v>
      </c>
      <c r="J342" t="s">
        <v>2028</v>
      </c>
      <c r="K342" t="s">
        <v>2035</v>
      </c>
    </row>
    <row r="343" spans="1:11" x14ac:dyDescent="0.3">
      <c r="A343" s="6" t="s">
        <v>352</v>
      </c>
      <c r="B343" t="s">
        <v>1351</v>
      </c>
      <c r="C343" t="s">
        <v>2008</v>
      </c>
      <c r="D343">
        <v>16</v>
      </c>
      <c r="E343" t="s">
        <v>2012</v>
      </c>
      <c r="F343" t="s">
        <v>2014</v>
      </c>
      <c r="G343" t="s">
        <v>2019</v>
      </c>
      <c r="H343" t="s">
        <v>2023</v>
      </c>
      <c r="I343">
        <v>29</v>
      </c>
      <c r="J343" t="s">
        <v>2032</v>
      </c>
      <c r="K343" t="s">
        <v>2036</v>
      </c>
    </row>
    <row r="344" spans="1:11" x14ac:dyDescent="0.3">
      <c r="A344" s="6" t="s">
        <v>353</v>
      </c>
      <c r="B344" t="s">
        <v>1352</v>
      </c>
      <c r="C344" t="s">
        <v>2007</v>
      </c>
      <c r="D344">
        <v>17</v>
      </c>
      <c r="E344" t="s">
        <v>2012</v>
      </c>
      <c r="F344" t="s">
        <v>2017</v>
      </c>
      <c r="G344" t="s">
        <v>2021</v>
      </c>
      <c r="H344" t="s">
        <v>2024</v>
      </c>
      <c r="I344">
        <v>30</v>
      </c>
      <c r="J344" t="s">
        <v>2032</v>
      </c>
      <c r="K344" t="s">
        <v>2036</v>
      </c>
    </row>
    <row r="345" spans="1:11" x14ac:dyDescent="0.3">
      <c r="A345" s="6" t="s">
        <v>354</v>
      </c>
      <c r="B345" t="s">
        <v>1353</v>
      </c>
      <c r="C345" t="s">
        <v>2008</v>
      </c>
      <c r="D345">
        <v>16</v>
      </c>
      <c r="E345" t="s">
        <v>2013</v>
      </c>
      <c r="F345" t="s">
        <v>2017</v>
      </c>
      <c r="G345" t="s">
        <v>2020</v>
      </c>
      <c r="H345" t="s">
        <v>2024</v>
      </c>
      <c r="I345">
        <v>90</v>
      </c>
      <c r="J345" t="s">
        <v>2032</v>
      </c>
      <c r="K345" t="s">
        <v>2035</v>
      </c>
    </row>
    <row r="346" spans="1:11" x14ac:dyDescent="0.3">
      <c r="A346" s="6" t="s">
        <v>355</v>
      </c>
      <c r="B346" t="s">
        <v>1354</v>
      </c>
      <c r="C346" t="s">
        <v>2007</v>
      </c>
      <c r="D346">
        <v>18</v>
      </c>
      <c r="E346" t="s">
        <v>2012</v>
      </c>
      <c r="F346" t="s">
        <v>2014</v>
      </c>
      <c r="G346" t="s">
        <v>2021</v>
      </c>
      <c r="H346" t="s">
        <v>2024</v>
      </c>
      <c r="I346">
        <v>27</v>
      </c>
      <c r="J346" t="s">
        <v>2026</v>
      </c>
      <c r="K346" t="s">
        <v>2036</v>
      </c>
    </row>
    <row r="347" spans="1:11" x14ac:dyDescent="0.3">
      <c r="A347" s="6" t="s">
        <v>356</v>
      </c>
      <c r="B347" t="s">
        <v>1355</v>
      </c>
      <c r="C347" t="s">
        <v>2008</v>
      </c>
      <c r="D347">
        <v>17</v>
      </c>
      <c r="E347" t="s">
        <v>2011</v>
      </c>
      <c r="F347" t="s">
        <v>2017</v>
      </c>
      <c r="G347" t="s">
        <v>2019</v>
      </c>
      <c r="H347" t="s">
        <v>2023</v>
      </c>
      <c r="I347">
        <v>84</v>
      </c>
      <c r="J347" t="s">
        <v>2025</v>
      </c>
      <c r="K347" t="s">
        <v>2035</v>
      </c>
    </row>
    <row r="348" spans="1:11" x14ac:dyDescent="0.3">
      <c r="A348" s="6" t="s">
        <v>357</v>
      </c>
      <c r="B348" t="s">
        <v>1356</v>
      </c>
      <c r="C348" t="s">
        <v>2007</v>
      </c>
      <c r="D348">
        <v>16</v>
      </c>
      <c r="E348" t="s">
        <v>2010</v>
      </c>
      <c r="F348" t="s">
        <v>2014</v>
      </c>
      <c r="G348" t="s">
        <v>2020</v>
      </c>
      <c r="H348" t="s">
        <v>2023</v>
      </c>
      <c r="I348">
        <v>0</v>
      </c>
      <c r="J348" t="s">
        <v>2026</v>
      </c>
      <c r="K348" t="s">
        <v>2036</v>
      </c>
    </row>
    <row r="349" spans="1:11" x14ac:dyDescent="0.3">
      <c r="A349" s="6" t="s">
        <v>358</v>
      </c>
      <c r="B349" t="s">
        <v>1357</v>
      </c>
      <c r="C349" t="s">
        <v>2008</v>
      </c>
      <c r="D349">
        <v>18</v>
      </c>
      <c r="E349" t="s">
        <v>2011</v>
      </c>
      <c r="F349" t="s">
        <v>2014</v>
      </c>
      <c r="G349" t="s">
        <v>2022</v>
      </c>
      <c r="H349" t="s">
        <v>2023</v>
      </c>
      <c r="I349">
        <v>55</v>
      </c>
      <c r="J349" t="s">
        <v>2028</v>
      </c>
      <c r="K349" t="s">
        <v>2035</v>
      </c>
    </row>
    <row r="350" spans="1:11" x14ac:dyDescent="0.3">
      <c r="A350" s="6" t="s">
        <v>359</v>
      </c>
      <c r="B350" t="s">
        <v>1358</v>
      </c>
      <c r="C350" t="s">
        <v>2008</v>
      </c>
      <c r="D350">
        <v>14</v>
      </c>
      <c r="E350" t="s">
        <v>2010</v>
      </c>
      <c r="F350" t="s">
        <v>2014</v>
      </c>
      <c r="G350" t="s">
        <v>2018</v>
      </c>
      <c r="H350" t="s">
        <v>2024</v>
      </c>
      <c r="I350">
        <v>62</v>
      </c>
      <c r="J350" t="s">
        <v>2030</v>
      </c>
      <c r="K350" t="s">
        <v>2035</v>
      </c>
    </row>
    <row r="351" spans="1:11" x14ac:dyDescent="0.3">
      <c r="A351" s="6" t="s">
        <v>360</v>
      </c>
      <c r="B351" t="s">
        <v>1359</v>
      </c>
      <c r="C351" t="s">
        <v>2008</v>
      </c>
      <c r="D351">
        <v>17</v>
      </c>
      <c r="E351" t="s">
        <v>2009</v>
      </c>
      <c r="F351" t="s">
        <v>2017</v>
      </c>
      <c r="G351" t="s">
        <v>2022</v>
      </c>
      <c r="H351" t="s">
        <v>2024</v>
      </c>
      <c r="I351">
        <v>34</v>
      </c>
      <c r="J351" t="s">
        <v>2034</v>
      </c>
      <c r="K351" t="s">
        <v>2036</v>
      </c>
    </row>
    <row r="352" spans="1:11" x14ac:dyDescent="0.3">
      <c r="A352" s="6" t="s">
        <v>361</v>
      </c>
      <c r="B352" t="s">
        <v>1360</v>
      </c>
      <c r="C352" t="s">
        <v>2007</v>
      </c>
      <c r="D352">
        <v>18</v>
      </c>
      <c r="E352" t="s">
        <v>2011</v>
      </c>
      <c r="F352" t="s">
        <v>2016</v>
      </c>
      <c r="G352" t="s">
        <v>2018</v>
      </c>
      <c r="H352" t="s">
        <v>2023</v>
      </c>
      <c r="I352">
        <v>84</v>
      </c>
      <c r="J352" t="s">
        <v>2029</v>
      </c>
      <c r="K352" t="s">
        <v>2035</v>
      </c>
    </row>
    <row r="353" spans="1:11" x14ac:dyDescent="0.3">
      <c r="A353" s="6" t="s">
        <v>362</v>
      </c>
      <c r="B353" t="s">
        <v>1361</v>
      </c>
      <c r="C353" t="s">
        <v>2007</v>
      </c>
      <c r="D353">
        <v>18</v>
      </c>
      <c r="E353" t="s">
        <v>2010</v>
      </c>
      <c r="F353" t="s">
        <v>2017</v>
      </c>
      <c r="G353" t="s">
        <v>2022</v>
      </c>
      <c r="H353" t="s">
        <v>2024</v>
      </c>
      <c r="I353">
        <v>22</v>
      </c>
      <c r="J353" t="s">
        <v>2033</v>
      </c>
      <c r="K353" t="s">
        <v>2036</v>
      </c>
    </row>
    <row r="354" spans="1:11" x14ac:dyDescent="0.3">
      <c r="A354" s="6" t="s">
        <v>363</v>
      </c>
      <c r="B354" t="s">
        <v>1362</v>
      </c>
      <c r="C354" t="s">
        <v>2008</v>
      </c>
      <c r="D354">
        <v>14</v>
      </c>
      <c r="E354" t="s">
        <v>2010</v>
      </c>
      <c r="F354" t="s">
        <v>2014</v>
      </c>
      <c r="G354" t="s">
        <v>2020</v>
      </c>
      <c r="H354" t="s">
        <v>2023</v>
      </c>
      <c r="I354">
        <v>92</v>
      </c>
      <c r="J354" t="s">
        <v>2033</v>
      </c>
      <c r="K354" t="s">
        <v>2035</v>
      </c>
    </row>
    <row r="355" spans="1:11" x14ac:dyDescent="0.3">
      <c r="A355" s="6" t="s">
        <v>364</v>
      </c>
      <c r="B355" t="s">
        <v>1363</v>
      </c>
      <c r="C355" t="s">
        <v>2007</v>
      </c>
      <c r="D355">
        <v>14</v>
      </c>
      <c r="E355" t="s">
        <v>2009</v>
      </c>
      <c r="F355" t="s">
        <v>2017</v>
      </c>
      <c r="G355" t="s">
        <v>2022</v>
      </c>
      <c r="H355" t="s">
        <v>2024</v>
      </c>
      <c r="I355">
        <v>25</v>
      </c>
      <c r="J355" t="s">
        <v>2027</v>
      </c>
      <c r="K355" t="s">
        <v>2036</v>
      </c>
    </row>
    <row r="356" spans="1:11" x14ac:dyDescent="0.3">
      <c r="A356" s="6" t="s">
        <v>365</v>
      </c>
      <c r="B356" t="s">
        <v>1364</v>
      </c>
      <c r="C356" t="s">
        <v>2007</v>
      </c>
      <c r="D356">
        <v>15</v>
      </c>
      <c r="E356" t="s">
        <v>2010</v>
      </c>
      <c r="F356" t="s">
        <v>2016</v>
      </c>
      <c r="G356" t="s">
        <v>2021</v>
      </c>
      <c r="H356" t="s">
        <v>2024</v>
      </c>
      <c r="I356">
        <v>88</v>
      </c>
      <c r="J356" t="s">
        <v>2028</v>
      </c>
      <c r="K356" t="s">
        <v>2035</v>
      </c>
    </row>
    <row r="357" spans="1:11" x14ac:dyDescent="0.3">
      <c r="A357" s="6" t="s">
        <v>366</v>
      </c>
      <c r="B357" t="s">
        <v>1365</v>
      </c>
      <c r="C357" t="s">
        <v>2007</v>
      </c>
      <c r="D357">
        <v>17</v>
      </c>
      <c r="E357" t="s">
        <v>2013</v>
      </c>
      <c r="F357" t="s">
        <v>2015</v>
      </c>
      <c r="G357" t="s">
        <v>2018</v>
      </c>
      <c r="H357" t="s">
        <v>2023</v>
      </c>
      <c r="I357">
        <v>33</v>
      </c>
      <c r="J357" t="s">
        <v>2028</v>
      </c>
      <c r="K357" t="s">
        <v>2036</v>
      </c>
    </row>
    <row r="358" spans="1:11" x14ac:dyDescent="0.3">
      <c r="A358" s="6" t="s">
        <v>367</v>
      </c>
      <c r="B358" t="s">
        <v>1366</v>
      </c>
      <c r="C358" t="s">
        <v>2007</v>
      </c>
      <c r="D358">
        <v>15</v>
      </c>
      <c r="E358" t="s">
        <v>2012</v>
      </c>
      <c r="F358" t="s">
        <v>2015</v>
      </c>
      <c r="G358" t="s">
        <v>2020</v>
      </c>
      <c r="H358" t="s">
        <v>2023</v>
      </c>
      <c r="I358">
        <v>82</v>
      </c>
      <c r="J358" t="s">
        <v>2034</v>
      </c>
      <c r="K358" t="s">
        <v>2035</v>
      </c>
    </row>
    <row r="359" spans="1:11" x14ac:dyDescent="0.3">
      <c r="A359" s="6" t="s">
        <v>368</v>
      </c>
      <c r="B359" t="s">
        <v>1367</v>
      </c>
      <c r="C359" t="s">
        <v>2007</v>
      </c>
      <c r="D359">
        <v>18</v>
      </c>
      <c r="E359" t="s">
        <v>2009</v>
      </c>
      <c r="F359" t="s">
        <v>2017</v>
      </c>
      <c r="G359" t="s">
        <v>2021</v>
      </c>
      <c r="H359" t="s">
        <v>2023</v>
      </c>
      <c r="I359">
        <v>37</v>
      </c>
      <c r="J359" t="s">
        <v>2027</v>
      </c>
      <c r="K359" t="s">
        <v>2036</v>
      </c>
    </row>
    <row r="360" spans="1:11" x14ac:dyDescent="0.3">
      <c r="A360" s="6" t="s">
        <v>369</v>
      </c>
      <c r="B360" t="s">
        <v>1368</v>
      </c>
      <c r="C360" t="s">
        <v>2007</v>
      </c>
      <c r="D360">
        <v>16</v>
      </c>
      <c r="E360" t="s">
        <v>2009</v>
      </c>
      <c r="F360" t="s">
        <v>2016</v>
      </c>
      <c r="G360" t="s">
        <v>2021</v>
      </c>
      <c r="H360" t="s">
        <v>2023</v>
      </c>
      <c r="I360">
        <v>65</v>
      </c>
      <c r="J360" t="s">
        <v>2031</v>
      </c>
      <c r="K360" t="s">
        <v>2035</v>
      </c>
    </row>
    <row r="361" spans="1:11" x14ac:dyDescent="0.3">
      <c r="A361" s="6" t="s">
        <v>370</v>
      </c>
      <c r="B361" t="s">
        <v>1369</v>
      </c>
      <c r="C361" t="s">
        <v>2007</v>
      </c>
      <c r="D361">
        <v>18</v>
      </c>
      <c r="E361" t="s">
        <v>2011</v>
      </c>
      <c r="F361" t="s">
        <v>2014</v>
      </c>
      <c r="G361" t="s">
        <v>2020</v>
      </c>
      <c r="H361" t="s">
        <v>2024</v>
      </c>
      <c r="I361">
        <v>75</v>
      </c>
      <c r="J361" t="s">
        <v>2030</v>
      </c>
      <c r="K361" t="s">
        <v>2035</v>
      </c>
    </row>
    <row r="362" spans="1:11" x14ac:dyDescent="0.3">
      <c r="A362" s="6" t="s">
        <v>371</v>
      </c>
      <c r="B362" t="s">
        <v>1370</v>
      </c>
      <c r="C362" t="s">
        <v>2007</v>
      </c>
      <c r="D362">
        <v>17</v>
      </c>
      <c r="E362" t="s">
        <v>2010</v>
      </c>
      <c r="F362" t="s">
        <v>2015</v>
      </c>
      <c r="G362" t="s">
        <v>2018</v>
      </c>
      <c r="H362" t="s">
        <v>2023</v>
      </c>
      <c r="I362">
        <v>66</v>
      </c>
      <c r="J362" t="s">
        <v>2030</v>
      </c>
      <c r="K362" t="s">
        <v>2035</v>
      </c>
    </row>
    <row r="363" spans="1:11" x14ac:dyDescent="0.3">
      <c r="A363" s="6" t="s">
        <v>372</v>
      </c>
      <c r="B363" t="s">
        <v>1371</v>
      </c>
      <c r="C363" t="s">
        <v>2008</v>
      </c>
      <c r="D363">
        <v>14</v>
      </c>
      <c r="E363" t="s">
        <v>2011</v>
      </c>
      <c r="F363" t="s">
        <v>2016</v>
      </c>
      <c r="G363" t="s">
        <v>2021</v>
      </c>
      <c r="H363" t="s">
        <v>2024</v>
      </c>
      <c r="I363">
        <v>28</v>
      </c>
      <c r="J363" t="s">
        <v>2033</v>
      </c>
      <c r="K363" t="s">
        <v>2036</v>
      </c>
    </row>
    <row r="364" spans="1:11" x14ac:dyDescent="0.3">
      <c r="A364" s="6" t="s">
        <v>373</v>
      </c>
      <c r="B364" t="s">
        <v>1372</v>
      </c>
      <c r="C364" t="s">
        <v>2007</v>
      </c>
      <c r="D364">
        <v>15</v>
      </c>
      <c r="E364" t="s">
        <v>2010</v>
      </c>
      <c r="F364" t="s">
        <v>2017</v>
      </c>
      <c r="G364" t="s">
        <v>2020</v>
      </c>
      <c r="H364" t="s">
        <v>2024</v>
      </c>
      <c r="I364">
        <v>25</v>
      </c>
      <c r="J364" t="s">
        <v>2028</v>
      </c>
      <c r="K364" t="s">
        <v>2036</v>
      </c>
    </row>
    <row r="365" spans="1:11" x14ac:dyDescent="0.3">
      <c r="A365" s="6" t="s">
        <v>374</v>
      </c>
      <c r="B365" t="s">
        <v>1373</v>
      </c>
      <c r="C365" t="s">
        <v>2007</v>
      </c>
      <c r="D365">
        <v>16</v>
      </c>
      <c r="E365" t="s">
        <v>2010</v>
      </c>
      <c r="F365" t="s">
        <v>2017</v>
      </c>
      <c r="G365" t="s">
        <v>2021</v>
      </c>
      <c r="H365" t="s">
        <v>2023</v>
      </c>
      <c r="I365">
        <v>46</v>
      </c>
      <c r="J365" t="s">
        <v>2034</v>
      </c>
      <c r="K365" t="s">
        <v>2036</v>
      </c>
    </row>
    <row r="366" spans="1:11" x14ac:dyDescent="0.3">
      <c r="A366" s="6" t="s">
        <v>375</v>
      </c>
      <c r="B366" t="s">
        <v>1374</v>
      </c>
      <c r="C366" t="s">
        <v>2008</v>
      </c>
      <c r="D366">
        <v>16</v>
      </c>
      <c r="E366" t="s">
        <v>2012</v>
      </c>
      <c r="F366" t="s">
        <v>2014</v>
      </c>
      <c r="G366" t="s">
        <v>2018</v>
      </c>
      <c r="H366" t="s">
        <v>2023</v>
      </c>
      <c r="I366">
        <v>28</v>
      </c>
      <c r="J366" t="s">
        <v>2032</v>
      </c>
      <c r="K366" t="s">
        <v>2036</v>
      </c>
    </row>
    <row r="367" spans="1:11" x14ac:dyDescent="0.3">
      <c r="A367" s="6" t="s">
        <v>376</v>
      </c>
      <c r="B367" t="s">
        <v>1375</v>
      </c>
      <c r="C367" t="s">
        <v>2007</v>
      </c>
      <c r="D367">
        <v>16</v>
      </c>
      <c r="E367" t="s">
        <v>2009</v>
      </c>
      <c r="F367" t="s">
        <v>2015</v>
      </c>
      <c r="G367" t="s">
        <v>2020</v>
      </c>
      <c r="H367" t="s">
        <v>2023</v>
      </c>
      <c r="I367">
        <v>32</v>
      </c>
      <c r="J367" t="s">
        <v>2033</v>
      </c>
      <c r="K367" t="s">
        <v>2036</v>
      </c>
    </row>
    <row r="368" spans="1:11" x14ac:dyDescent="0.3">
      <c r="A368" s="6" t="s">
        <v>377</v>
      </c>
      <c r="B368" t="s">
        <v>1376</v>
      </c>
      <c r="C368" t="s">
        <v>2007</v>
      </c>
      <c r="D368">
        <v>15</v>
      </c>
      <c r="E368" t="s">
        <v>2013</v>
      </c>
      <c r="F368" t="s">
        <v>2016</v>
      </c>
      <c r="G368" t="s">
        <v>2022</v>
      </c>
      <c r="H368" t="s">
        <v>2024</v>
      </c>
      <c r="I368">
        <v>70</v>
      </c>
      <c r="J368" t="s">
        <v>2033</v>
      </c>
      <c r="K368" t="s">
        <v>2035</v>
      </c>
    </row>
    <row r="369" spans="1:11" x14ac:dyDescent="0.3">
      <c r="A369" s="6" t="s">
        <v>378</v>
      </c>
      <c r="B369" t="s">
        <v>1377</v>
      </c>
      <c r="C369" t="s">
        <v>2008</v>
      </c>
      <c r="D369">
        <v>18</v>
      </c>
      <c r="E369" t="s">
        <v>2013</v>
      </c>
      <c r="F369" t="s">
        <v>2014</v>
      </c>
      <c r="G369" t="s">
        <v>2019</v>
      </c>
      <c r="H369" t="s">
        <v>2024</v>
      </c>
      <c r="I369">
        <v>16</v>
      </c>
      <c r="J369" t="s">
        <v>2026</v>
      </c>
      <c r="K369" t="s">
        <v>2036</v>
      </c>
    </row>
    <row r="370" spans="1:11" x14ac:dyDescent="0.3">
      <c r="A370" s="6" t="s">
        <v>379</v>
      </c>
      <c r="B370" t="s">
        <v>1378</v>
      </c>
      <c r="C370" t="s">
        <v>2008</v>
      </c>
      <c r="D370">
        <v>15</v>
      </c>
      <c r="E370" t="s">
        <v>2011</v>
      </c>
      <c r="F370" t="s">
        <v>2015</v>
      </c>
      <c r="G370" t="s">
        <v>2020</v>
      </c>
      <c r="H370" t="s">
        <v>2024</v>
      </c>
      <c r="I370">
        <v>0</v>
      </c>
      <c r="J370" t="s">
        <v>2033</v>
      </c>
      <c r="K370" t="s">
        <v>2036</v>
      </c>
    </row>
    <row r="371" spans="1:11" x14ac:dyDescent="0.3">
      <c r="A371" s="6" t="s">
        <v>380</v>
      </c>
      <c r="B371" t="s">
        <v>1379</v>
      </c>
      <c r="C371" t="s">
        <v>2007</v>
      </c>
      <c r="D371">
        <v>16</v>
      </c>
      <c r="E371" t="s">
        <v>2010</v>
      </c>
      <c r="F371" t="s">
        <v>2017</v>
      </c>
      <c r="G371" t="s">
        <v>2018</v>
      </c>
      <c r="H371" t="s">
        <v>2024</v>
      </c>
      <c r="I371">
        <v>17</v>
      </c>
      <c r="J371" t="s">
        <v>2026</v>
      </c>
      <c r="K371" t="s">
        <v>2036</v>
      </c>
    </row>
    <row r="372" spans="1:11" x14ac:dyDescent="0.3">
      <c r="A372" s="6" t="s">
        <v>381</v>
      </c>
      <c r="B372" t="s">
        <v>1380</v>
      </c>
      <c r="C372" t="s">
        <v>2007</v>
      </c>
      <c r="D372">
        <v>18</v>
      </c>
      <c r="E372" t="s">
        <v>2009</v>
      </c>
      <c r="F372" t="s">
        <v>2014</v>
      </c>
      <c r="G372" t="s">
        <v>2022</v>
      </c>
      <c r="H372" t="s">
        <v>2024</v>
      </c>
      <c r="I372">
        <v>43</v>
      </c>
      <c r="J372" t="s">
        <v>2034</v>
      </c>
      <c r="K372" t="s">
        <v>2036</v>
      </c>
    </row>
    <row r="373" spans="1:11" x14ac:dyDescent="0.3">
      <c r="A373" s="6" t="s">
        <v>382</v>
      </c>
      <c r="B373" t="s">
        <v>1381</v>
      </c>
      <c r="C373" t="s">
        <v>2008</v>
      </c>
      <c r="D373">
        <v>18</v>
      </c>
      <c r="E373" t="s">
        <v>2009</v>
      </c>
      <c r="F373" t="s">
        <v>2014</v>
      </c>
      <c r="G373" t="s">
        <v>2020</v>
      </c>
      <c r="H373" t="s">
        <v>2024</v>
      </c>
      <c r="I373">
        <v>69</v>
      </c>
      <c r="J373" t="s">
        <v>2031</v>
      </c>
      <c r="K373" t="s">
        <v>2035</v>
      </c>
    </row>
    <row r="374" spans="1:11" x14ac:dyDescent="0.3">
      <c r="A374" s="6" t="s">
        <v>383</v>
      </c>
      <c r="B374" t="s">
        <v>1382</v>
      </c>
      <c r="C374" t="s">
        <v>2008</v>
      </c>
      <c r="D374">
        <v>17</v>
      </c>
      <c r="E374" t="s">
        <v>2013</v>
      </c>
      <c r="F374" t="s">
        <v>2017</v>
      </c>
      <c r="G374" t="s">
        <v>2021</v>
      </c>
      <c r="H374" t="s">
        <v>2024</v>
      </c>
      <c r="I374">
        <v>31</v>
      </c>
      <c r="J374" t="s">
        <v>2029</v>
      </c>
      <c r="K374" t="s">
        <v>2036</v>
      </c>
    </row>
    <row r="375" spans="1:11" x14ac:dyDescent="0.3">
      <c r="A375" s="6" t="s">
        <v>384</v>
      </c>
      <c r="B375" t="s">
        <v>1383</v>
      </c>
      <c r="C375" t="s">
        <v>2007</v>
      </c>
      <c r="D375">
        <v>14</v>
      </c>
      <c r="E375" t="s">
        <v>2012</v>
      </c>
      <c r="F375" t="s">
        <v>2017</v>
      </c>
      <c r="G375" t="s">
        <v>2018</v>
      </c>
      <c r="H375" t="s">
        <v>2024</v>
      </c>
      <c r="I375">
        <v>20</v>
      </c>
      <c r="J375" t="s">
        <v>2033</v>
      </c>
      <c r="K375" t="s">
        <v>2036</v>
      </c>
    </row>
    <row r="376" spans="1:11" x14ac:dyDescent="0.3">
      <c r="A376" s="6" t="s">
        <v>385</v>
      </c>
      <c r="B376" t="s">
        <v>1384</v>
      </c>
      <c r="C376" t="s">
        <v>2008</v>
      </c>
      <c r="D376">
        <v>14</v>
      </c>
      <c r="E376" t="s">
        <v>2009</v>
      </c>
      <c r="F376" t="s">
        <v>2014</v>
      </c>
      <c r="G376" t="s">
        <v>2018</v>
      </c>
      <c r="H376" t="s">
        <v>2023</v>
      </c>
      <c r="I376">
        <v>61</v>
      </c>
      <c r="J376" t="s">
        <v>2025</v>
      </c>
      <c r="K376" t="s">
        <v>2035</v>
      </c>
    </row>
    <row r="377" spans="1:11" x14ac:dyDescent="0.3">
      <c r="A377" s="6" t="s">
        <v>386</v>
      </c>
      <c r="B377" t="s">
        <v>1385</v>
      </c>
      <c r="C377" t="s">
        <v>2007</v>
      </c>
      <c r="D377">
        <v>17</v>
      </c>
      <c r="E377" t="s">
        <v>2009</v>
      </c>
      <c r="F377" t="s">
        <v>2017</v>
      </c>
      <c r="G377" t="s">
        <v>2018</v>
      </c>
      <c r="H377" t="s">
        <v>2024</v>
      </c>
      <c r="I377">
        <v>4</v>
      </c>
      <c r="J377" t="s">
        <v>2025</v>
      </c>
      <c r="K377" t="s">
        <v>2036</v>
      </c>
    </row>
    <row r="378" spans="1:11" x14ac:dyDescent="0.3">
      <c r="A378" s="6" t="s">
        <v>387</v>
      </c>
      <c r="B378" t="s">
        <v>1386</v>
      </c>
      <c r="C378" t="s">
        <v>2008</v>
      </c>
      <c r="D378">
        <v>18</v>
      </c>
      <c r="E378" t="s">
        <v>2011</v>
      </c>
      <c r="F378" t="s">
        <v>2016</v>
      </c>
      <c r="G378" t="s">
        <v>2020</v>
      </c>
      <c r="H378" t="s">
        <v>2024</v>
      </c>
      <c r="I378">
        <v>96</v>
      </c>
      <c r="J378" t="s">
        <v>2027</v>
      </c>
      <c r="K378" t="s">
        <v>2035</v>
      </c>
    </row>
    <row r="379" spans="1:11" x14ac:dyDescent="0.3">
      <c r="A379" s="6" t="s">
        <v>388</v>
      </c>
      <c r="B379" t="s">
        <v>1387</v>
      </c>
      <c r="C379" t="s">
        <v>2007</v>
      </c>
      <c r="D379">
        <v>18</v>
      </c>
      <c r="E379" t="s">
        <v>2010</v>
      </c>
      <c r="F379" t="s">
        <v>2015</v>
      </c>
      <c r="G379" t="s">
        <v>2018</v>
      </c>
      <c r="H379" t="s">
        <v>2024</v>
      </c>
      <c r="I379">
        <v>52</v>
      </c>
      <c r="J379" t="s">
        <v>2026</v>
      </c>
      <c r="K379" t="s">
        <v>2035</v>
      </c>
    </row>
    <row r="380" spans="1:11" x14ac:dyDescent="0.3">
      <c r="A380" s="6" t="s">
        <v>389</v>
      </c>
      <c r="B380" t="s">
        <v>1388</v>
      </c>
      <c r="C380" t="s">
        <v>2008</v>
      </c>
      <c r="D380">
        <v>16</v>
      </c>
      <c r="E380" t="s">
        <v>2011</v>
      </c>
      <c r="F380" t="s">
        <v>2016</v>
      </c>
      <c r="G380" t="s">
        <v>2019</v>
      </c>
      <c r="H380" t="s">
        <v>2023</v>
      </c>
      <c r="I380">
        <v>30</v>
      </c>
      <c r="J380" t="s">
        <v>2025</v>
      </c>
      <c r="K380" t="s">
        <v>2036</v>
      </c>
    </row>
    <row r="381" spans="1:11" x14ac:dyDescent="0.3">
      <c r="A381" s="6" t="s">
        <v>390</v>
      </c>
      <c r="B381" t="s">
        <v>1389</v>
      </c>
      <c r="C381" t="s">
        <v>2007</v>
      </c>
      <c r="D381">
        <v>17</v>
      </c>
      <c r="E381" t="s">
        <v>2009</v>
      </c>
      <c r="F381" t="s">
        <v>2016</v>
      </c>
      <c r="G381" t="s">
        <v>2022</v>
      </c>
      <c r="H381" t="s">
        <v>2023</v>
      </c>
      <c r="I381">
        <v>26</v>
      </c>
      <c r="J381" t="s">
        <v>2026</v>
      </c>
      <c r="K381" t="s">
        <v>2036</v>
      </c>
    </row>
    <row r="382" spans="1:11" x14ac:dyDescent="0.3">
      <c r="A382" s="6" t="s">
        <v>391</v>
      </c>
      <c r="B382" t="s">
        <v>1390</v>
      </c>
      <c r="C382" t="s">
        <v>2007</v>
      </c>
      <c r="D382">
        <v>18</v>
      </c>
      <c r="E382" t="s">
        <v>2012</v>
      </c>
      <c r="F382" t="s">
        <v>2017</v>
      </c>
      <c r="G382" t="s">
        <v>2020</v>
      </c>
      <c r="H382" t="s">
        <v>2023</v>
      </c>
      <c r="I382">
        <v>86</v>
      </c>
      <c r="J382" t="s">
        <v>2026</v>
      </c>
      <c r="K382" t="s">
        <v>2035</v>
      </c>
    </row>
    <row r="383" spans="1:11" x14ac:dyDescent="0.3">
      <c r="A383" s="6" t="s">
        <v>392</v>
      </c>
      <c r="B383" t="s">
        <v>1391</v>
      </c>
      <c r="C383" t="s">
        <v>2008</v>
      </c>
      <c r="D383">
        <v>15</v>
      </c>
      <c r="E383" t="s">
        <v>2013</v>
      </c>
      <c r="F383" t="s">
        <v>2014</v>
      </c>
      <c r="G383" t="s">
        <v>2022</v>
      </c>
      <c r="H383" t="s">
        <v>2023</v>
      </c>
      <c r="I383">
        <v>23</v>
      </c>
      <c r="J383" t="s">
        <v>2034</v>
      </c>
      <c r="K383" t="s">
        <v>2036</v>
      </c>
    </row>
    <row r="384" spans="1:11" x14ac:dyDescent="0.3">
      <c r="A384" s="6" t="s">
        <v>393</v>
      </c>
      <c r="B384" t="s">
        <v>1392</v>
      </c>
      <c r="C384" t="s">
        <v>2007</v>
      </c>
      <c r="D384">
        <v>17</v>
      </c>
      <c r="E384" t="s">
        <v>2012</v>
      </c>
      <c r="F384" t="s">
        <v>2016</v>
      </c>
      <c r="G384" t="s">
        <v>2021</v>
      </c>
      <c r="H384" t="s">
        <v>2024</v>
      </c>
      <c r="I384">
        <v>22</v>
      </c>
      <c r="J384" t="s">
        <v>2031</v>
      </c>
      <c r="K384" t="s">
        <v>2036</v>
      </c>
    </row>
    <row r="385" spans="1:11" x14ac:dyDescent="0.3">
      <c r="A385" s="6" t="s">
        <v>394</v>
      </c>
      <c r="B385" t="s">
        <v>1393</v>
      </c>
      <c r="C385" t="s">
        <v>2008</v>
      </c>
      <c r="D385">
        <v>18</v>
      </c>
      <c r="E385" t="s">
        <v>2012</v>
      </c>
      <c r="F385" t="s">
        <v>2015</v>
      </c>
      <c r="G385" t="s">
        <v>2018</v>
      </c>
      <c r="H385" t="s">
        <v>2023</v>
      </c>
      <c r="I385">
        <v>33</v>
      </c>
      <c r="J385" t="s">
        <v>2028</v>
      </c>
      <c r="K385" t="s">
        <v>2036</v>
      </c>
    </row>
    <row r="386" spans="1:11" x14ac:dyDescent="0.3">
      <c r="A386" s="6" t="s">
        <v>395</v>
      </c>
      <c r="B386" t="s">
        <v>1394</v>
      </c>
      <c r="C386" t="s">
        <v>2008</v>
      </c>
      <c r="D386">
        <v>15</v>
      </c>
      <c r="E386" t="s">
        <v>2009</v>
      </c>
      <c r="F386" t="s">
        <v>2014</v>
      </c>
      <c r="G386" t="s">
        <v>2022</v>
      </c>
      <c r="H386" t="s">
        <v>2023</v>
      </c>
      <c r="I386">
        <v>9</v>
      </c>
      <c r="J386" t="s">
        <v>2030</v>
      </c>
      <c r="K386" t="s">
        <v>2036</v>
      </c>
    </row>
    <row r="387" spans="1:11" x14ac:dyDescent="0.3">
      <c r="A387" s="6" t="s">
        <v>396</v>
      </c>
      <c r="B387" t="s">
        <v>1395</v>
      </c>
      <c r="C387" t="s">
        <v>2008</v>
      </c>
      <c r="D387">
        <v>17</v>
      </c>
      <c r="E387" t="s">
        <v>2010</v>
      </c>
      <c r="F387" t="s">
        <v>2017</v>
      </c>
      <c r="G387" t="s">
        <v>2019</v>
      </c>
      <c r="H387" t="s">
        <v>2024</v>
      </c>
      <c r="I387">
        <v>61</v>
      </c>
      <c r="J387" t="s">
        <v>2029</v>
      </c>
      <c r="K387" t="s">
        <v>2035</v>
      </c>
    </row>
    <row r="388" spans="1:11" x14ac:dyDescent="0.3">
      <c r="A388" s="6" t="s">
        <v>397</v>
      </c>
      <c r="B388" t="s">
        <v>1396</v>
      </c>
      <c r="C388" t="s">
        <v>2008</v>
      </c>
      <c r="D388">
        <v>16</v>
      </c>
      <c r="E388" t="s">
        <v>2009</v>
      </c>
      <c r="F388" t="s">
        <v>2016</v>
      </c>
      <c r="G388" t="s">
        <v>2020</v>
      </c>
      <c r="H388" t="s">
        <v>2023</v>
      </c>
      <c r="I388">
        <v>94</v>
      </c>
      <c r="J388" t="s">
        <v>2032</v>
      </c>
      <c r="K388" t="s">
        <v>2035</v>
      </c>
    </row>
    <row r="389" spans="1:11" x14ac:dyDescent="0.3">
      <c r="A389" s="6" t="s">
        <v>398</v>
      </c>
      <c r="B389" t="s">
        <v>1397</v>
      </c>
      <c r="C389" t="s">
        <v>2007</v>
      </c>
      <c r="D389">
        <v>17</v>
      </c>
      <c r="E389" t="s">
        <v>2009</v>
      </c>
      <c r="F389" t="s">
        <v>2016</v>
      </c>
      <c r="G389" t="s">
        <v>2020</v>
      </c>
      <c r="H389" t="s">
        <v>2023</v>
      </c>
      <c r="I389">
        <v>54</v>
      </c>
      <c r="J389" t="s">
        <v>2028</v>
      </c>
      <c r="K389" t="s">
        <v>2035</v>
      </c>
    </row>
    <row r="390" spans="1:11" x14ac:dyDescent="0.3">
      <c r="A390" s="6" t="s">
        <v>399</v>
      </c>
      <c r="B390" t="s">
        <v>1398</v>
      </c>
      <c r="C390" t="s">
        <v>2007</v>
      </c>
      <c r="D390">
        <v>14</v>
      </c>
      <c r="E390" t="s">
        <v>2010</v>
      </c>
      <c r="F390" t="s">
        <v>2014</v>
      </c>
      <c r="G390" t="s">
        <v>2021</v>
      </c>
      <c r="H390" t="s">
        <v>2023</v>
      </c>
      <c r="I390">
        <v>71</v>
      </c>
      <c r="J390" t="s">
        <v>2030</v>
      </c>
      <c r="K390" t="s">
        <v>2035</v>
      </c>
    </row>
    <row r="391" spans="1:11" x14ac:dyDescent="0.3">
      <c r="A391" s="6" t="s">
        <v>400</v>
      </c>
      <c r="B391" t="s">
        <v>1399</v>
      </c>
      <c r="C391" t="s">
        <v>2008</v>
      </c>
      <c r="D391">
        <v>15</v>
      </c>
      <c r="E391" t="s">
        <v>2010</v>
      </c>
      <c r="F391" t="s">
        <v>2017</v>
      </c>
      <c r="G391" t="s">
        <v>2021</v>
      </c>
      <c r="H391" t="s">
        <v>2023</v>
      </c>
      <c r="I391">
        <v>33</v>
      </c>
      <c r="J391" t="s">
        <v>2025</v>
      </c>
      <c r="K391" t="s">
        <v>2036</v>
      </c>
    </row>
    <row r="392" spans="1:11" x14ac:dyDescent="0.3">
      <c r="A392" s="6" t="s">
        <v>401</v>
      </c>
      <c r="B392" t="s">
        <v>1400</v>
      </c>
      <c r="C392" t="s">
        <v>2007</v>
      </c>
      <c r="D392">
        <v>15</v>
      </c>
      <c r="E392" t="s">
        <v>2009</v>
      </c>
      <c r="F392" t="s">
        <v>2017</v>
      </c>
      <c r="G392" t="s">
        <v>2021</v>
      </c>
      <c r="H392" t="s">
        <v>2024</v>
      </c>
      <c r="I392">
        <v>24</v>
      </c>
      <c r="J392" t="s">
        <v>2031</v>
      </c>
      <c r="K392" t="s">
        <v>2036</v>
      </c>
    </row>
    <row r="393" spans="1:11" x14ac:dyDescent="0.3">
      <c r="A393" s="6" t="s">
        <v>402</v>
      </c>
      <c r="B393" t="s">
        <v>1401</v>
      </c>
      <c r="C393" t="s">
        <v>2007</v>
      </c>
      <c r="D393">
        <v>18</v>
      </c>
      <c r="E393" t="s">
        <v>2011</v>
      </c>
      <c r="F393" t="s">
        <v>2014</v>
      </c>
      <c r="G393" t="s">
        <v>2019</v>
      </c>
      <c r="H393" t="s">
        <v>2024</v>
      </c>
      <c r="I393">
        <v>78</v>
      </c>
      <c r="J393" t="s">
        <v>2033</v>
      </c>
      <c r="K393" t="s">
        <v>2035</v>
      </c>
    </row>
    <row r="394" spans="1:11" x14ac:dyDescent="0.3">
      <c r="A394" s="6" t="s">
        <v>403</v>
      </c>
      <c r="B394" t="s">
        <v>1402</v>
      </c>
      <c r="C394" t="s">
        <v>2008</v>
      </c>
      <c r="D394">
        <v>18</v>
      </c>
      <c r="E394" t="s">
        <v>2009</v>
      </c>
      <c r="F394" t="s">
        <v>2015</v>
      </c>
      <c r="G394" t="s">
        <v>2020</v>
      </c>
      <c r="H394" t="s">
        <v>2024</v>
      </c>
      <c r="I394">
        <v>10</v>
      </c>
      <c r="J394" t="s">
        <v>2029</v>
      </c>
      <c r="K394" t="s">
        <v>2036</v>
      </c>
    </row>
    <row r="395" spans="1:11" x14ac:dyDescent="0.3">
      <c r="A395" s="6" t="s">
        <v>404</v>
      </c>
      <c r="B395" t="s">
        <v>1403</v>
      </c>
      <c r="C395" t="s">
        <v>2007</v>
      </c>
      <c r="D395">
        <v>15</v>
      </c>
      <c r="E395" t="s">
        <v>2012</v>
      </c>
      <c r="F395" t="s">
        <v>2015</v>
      </c>
      <c r="G395" t="s">
        <v>2018</v>
      </c>
      <c r="H395" t="s">
        <v>2024</v>
      </c>
      <c r="I395">
        <v>59</v>
      </c>
      <c r="J395" t="s">
        <v>2034</v>
      </c>
      <c r="K395" t="s">
        <v>2035</v>
      </c>
    </row>
    <row r="396" spans="1:11" x14ac:dyDescent="0.3">
      <c r="A396" s="6" t="s">
        <v>405</v>
      </c>
      <c r="B396" t="s">
        <v>1404</v>
      </c>
      <c r="C396" t="s">
        <v>2008</v>
      </c>
      <c r="D396">
        <v>14</v>
      </c>
      <c r="E396" t="s">
        <v>2010</v>
      </c>
      <c r="F396" t="s">
        <v>2017</v>
      </c>
      <c r="G396" t="s">
        <v>2020</v>
      </c>
      <c r="H396" t="s">
        <v>2024</v>
      </c>
      <c r="I396">
        <v>86</v>
      </c>
      <c r="J396" t="s">
        <v>2032</v>
      </c>
      <c r="K396" t="s">
        <v>2035</v>
      </c>
    </row>
    <row r="397" spans="1:11" x14ac:dyDescent="0.3">
      <c r="A397" s="6" t="s">
        <v>406</v>
      </c>
      <c r="B397" t="s">
        <v>1405</v>
      </c>
      <c r="C397" t="s">
        <v>2008</v>
      </c>
      <c r="D397">
        <v>18</v>
      </c>
      <c r="E397" t="s">
        <v>2012</v>
      </c>
      <c r="F397" t="s">
        <v>2016</v>
      </c>
      <c r="G397" t="s">
        <v>2022</v>
      </c>
      <c r="H397" t="s">
        <v>2024</v>
      </c>
      <c r="I397">
        <v>26</v>
      </c>
      <c r="J397" t="s">
        <v>2033</v>
      </c>
      <c r="K397" t="s">
        <v>2036</v>
      </c>
    </row>
    <row r="398" spans="1:11" x14ac:dyDescent="0.3">
      <c r="A398" s="6" t="s">
        <v>407</v>
      </c>
      <c r="B398" t="s">
        <v>1406</v>
      </c>
      <c r="C398" t="s">
        <v>2007</v>
      </c>
      <c r="D398">
        <v>14</v>
      </c>
      <c r="E398" t="s">
        <v>2010</v>
      </c>
      <c r="F398" t="s">
        <v>2017</v>
      </c>
      <c r="G398" t="s">
        <v>2021</v>
      </c>
      <c r="H398" t="s">
        <v>2023</v>
      </c>
      <c r="I398">
        <v>66</v>
      </c>
      <c r="J398" t="s">
        <v>2030</v>
      </c>
      <c r="K398" t="s">
        <v>2035</v>
      </c>
    </row>
    <row r="399" spans="1:11" x14ac:dyDescent="0.3">
      <c r="A399" s="6" t="s">
        <v>408</v>
      </c>
      <c r="B399" t="s">
        <v>1407</v>
      </c>
      <c r="C399" t="s">
        <v>2007</v>
      </c>
      <c r="D399">
        <v>16</v>
      </c>
      <c r="E399" t="s">
        <v>2009</v>
      </c>
      <c r="F399" t="s">
        <v>2014</v>
      </c>
      <c r="G399" t="s">
        <v>2021</v>
      </c>
      <c r="H399" t="s">
        <v>2024</v>
      </c>
      <c r="I399">
        <v>5</v>
      </c>
      <c r="J399" t="s">
        <v>2032</v>
      </c>
      <c r="K399" t="s">
        <v>2036</v>
      </c>
    </row>
    <row r="400" spans="1:11" x14ac:dyDescent="0.3">
      <c r="A400" s="6" t="s">
        <v>409</v>
      </c>
      <c r="B400" t="s">
        <v>1408</v>
      </c>
      <c r="C400" t="s">
        <v>2007</v>
      </c>
      <c r="D400">
        <v>15</v>
      </c>
      <c r="E400" t="s">
        <v>2010</v>
      </c>
      <c r="F400" t="s">
        <v>2017</v>
      </c>
      <c r="G400" t="s">
        <v>2020</v>
      </c>
      <c r="H400" t="s">
        <v>2024</v>
      </c>
      <c r="I400">
        <v>37</v>
      </c>
      <c r="J400" t="s">
        <v>2031</v>
      </c>
      <c r="K400" t="s">
        <v>2036</v>
      </c>
    </row>
    <row r="401" spans="1:11" x14ac:dyDescent="0.3">
      <c r="A401" s="6" t="s">
        <v>410</v>
      </c>
      <c r="B401" t="s">
        <v>1409</v>
      </c>
      <c r="C401" t="s">
        <v>2008</v>
      </c>
      <c r="D401">
        <v>17</v>
      </c>
      <c r="E401" t="s">
        <v>2011</v>
      </c>
      <c r="F401" t="s">
        <v>2014</v>
      </c>
      <c r="G401" t="s">
        <v>2021</v>
      </c>
      <c r="H401" t="s">
        <v>2024</v>
      </c>
      <c r="I401">
        <v>36</v>
      </c>
      <c r="J401" t="s">
        <v>2029</v>
      </c>
      <c r="K401" t="s">
        <v>2036</v>
      </c>
    </row>
    <row r="402" spans="1:11" x14ac:dyDescent="0.3">
      <c r="A402" s="6" t="s">
        <v>411</v>
      </c>
      <c r="B402" t="s">
        <v>1410</v>
      </c>
      <c r="C402" t="s">
        <v>2007</v>
      </c>
      <c r="D402">
        <v>18</v>
      </c>
      <c r="E402" t="s">
        <v>2010</v>
      </c>
      <c r="F402" t="s">
        <v>2017</v>
      </c>
      <c r="G402" t="s">
        <v>2021</v>
      </c>
      <c r="H402" t="s">
        <v>2023</v>
      </c>
      <c r="I402">
        <v>12</v>
      </c>
      <c r="J402" t="s">
        <v>2029</v>
      </c>
      <c r="K402" t="s">
        <v>2036</v>
      </c>
    </row>
    <row r="403" spans="1:11" x14ac:dyDescent="0.3">
      <c r="A403" s="6" t="s">
        <v>412</v>
      </c>
      <c r="B403" t="s">
        <v>1411</v>
      </c>
      <c r="C403" t="s">
        <v>2007</v>
      </c>
      <c r="D403">
        <v>14</v>
      </c>
      <c r="E403" t="s">
        <v>2012</v>
      </c>
      <c r="F403" t="s">
        <v>2016</v>
      </c>
      <c r="G403" t="s">
        <v>2022</v>
      </c>
      <c r="H403" t="s">
        <v>2023</v>
      </c>
      <c r="I403">
        <v>42</v>
      </c>
      <c r="J403" t="s">
        <v>2027</v>
      </c>
      <c r="K403" t="s">
        <v>2036</v>
      </c>
    </row>
    <row r="404" spans="1:11" x14ac:dyDescent="0.3">
      <c r="A404" s="6" t="s">
        <v>413</v>
      </c>
      <c r="B404" t="s">
        <v>1412</v>
      </c>
      <c r="C404" t="s">
        <v>2008</v>
      </c>
      <c r="D404">
        <v>17</v>
      </c>
      <c r="E404" t="s">
        <v>2009</v>
      </c>
      <c r="F404" t="s">
        <v>2016</v>
      </c>
      <c r="G404" t="s">
        <v>2020</v>
      </c>
      <c r="H404" t="s">
        <v>2023</v>
      </c>
      <c r="I404">
        <v>14</v>
      </c>
      <c r="J404" t="s">
        <v>2034</v>
      </c>
      <c r="K404" t="s">
        <v>2036</v>
      </c>
    </row>
    <row r="405" spans="1:11" x14ac:dyDescent="0.3">
      <c r="A405" s="6" t="s">
        <v>414</v>
      </c>
      <c r="B405" t="s">
        <v>1413</v>
      </c>
      <c r="C405" t="s">
        <v>2007</v>
      </c>
      <c r="D405">
        <v>14</v>
      </c>
      <c r="E405" t="s">
        <v>2010</v>
      </c>
      <c r="F405" t="s">
        <v>2014</v>
      </c>
      <c r="G405" t="s">
        <v>2018</v>
      </c>
      <c r="H405" t="s">
        <v>2024</v>
      </c>
      <c r="I405">
        <v>26</v>
      </c>
      <c r="J405" t="s">
        <v>2031</v>
      </c>
      <c r="K405" t="s">
        <v>2036</v>
      </c>
    </row>
    <row r="406" spans="1:11" x14ac:dyDescent="0.3">
      <c r="A406" s="6" t="s">
        <v>415</v>
      </c>
      <c r="B406" t="s">
        <v>1414</v>
      </c>
      <c r="C406" t="s">
        <v>2007</v>
      </c>
      <c r="D406">
        <v>18</v>
      </c>
      <c r="E406" t="s">
        <v>2013</v>
      </c>
      <c r="F406" t="s">
        <v>2016</v>
      </c>
      <c r="G406" t="s">
        <v>2020</v>
      </c>
      <c r="H406" t="s">
        <v>2024</v>
      </c>
      <c r="I406">
        <v>84</v>
      </c>
      <c r="J406" t="s">
        <v>2025</v>
      </c>
      <c r="K406" t="s">
        <v>2035</v>
      </c>
    </row>
    <row r="407" spans="1:11" x14ac:dyDescent="0.3">
      <c r="A407" s="6" t="s">
        <v>416</v>
      </c>
      <c r="B407" t="s">
        <v>1415</v>
      </c>
      <c r="C407" t="s">
        <v>2007</v>
      </c>
      <c r="D407">
        <v>17</v>
      </c>
      <c r="E407" t="s">
        <v>2010</v>
      </c>
      <c r="F407" t="s">
        <v>2014</v>
      </c>
      <c r="G407" t="s">
        <v>2020</v>
      </c>
      <c r="H407" t="s">
        <v>2023</v>
      </c>
      <c r="I407">
        <v>38</v>
      </c>
      <c r="J407" t="s">
        <v>2032</v>
      </c>
      <c r="K407" t="s">
        <v>2036</v>
      </c>
    </row>
    <row r="408" spans="1:11" x14ac:dyDescent="0.3">
      <c r="A408" s="6" t="s">
        <v>417</v>
      </c>
      <c r="B408" t="s">
        <v>1416</v>
      </c>
      <c r="C408" t="s">
        <v>2007</v>
      </c>
      <c r="D408">
        <v>14</v>
      </c>
      <c r="E408" t="s">
        <v>2011</v>
      </c>
      <c r="F408" t="s">
        <v>2014</v>
      </c>
      <c r="G408" t="s">
        <v>2021</v>
      </c>
      <c r="H408" t="s">
        <v>2024</v>
      </c>
      <c r="I408">
        <v>24</v>
      </c>
      <c r="J408" t="s">
        <v>2031</v>
      </c>
      <c r="K408" t="s">
        <v>2036</v>
      </c>
    </row>
    <row r="409" spans="1:11" x14ac:dyDescent="0.3">
      <c r="A409" s="6" t="s">
        <v>418</v>
      </c>
      <c r="B409" t="s">
        <v>1417</v>
      </c>
      <c r="C409" t="s">
        <v>2008</v>
      </c>
      <c r="D409">
        <v>18</v>
      </c>
      <c r="E409" t="s">
        <v>2011</v>
      </c>
      <c r="F409" t="s">
        <v>2015</v>
      </c>
      <c r="G409" t="s">
        <v>2018</v>
      </c>
      <c r="H409" t="s">
        <v>2023</v>
      </c>
      <c r="I409">
        <v>85</v>
      </c>
      <c r="J409" t="s">
        <v>2034</v>
      </c>
      <c r="K409" t="s">
        <v>2035</v>
      </c>
    </row>
    <row r="410" spans="1:11" x14ac:dyDescent="0.3">
      <c r="A410" s="6" t="s">
        <v>419</v>
      </c>
      <c r="B410" t="s">
        <v>1418</v>
      </c>
      <c r="C410" t="s">
        <v>2008</v>
      </c>
      <c r="D410">
        <v>17</v>
      </c>
      <c r="E410" t="s">
        <v>2012</v>
      </c>
      <c r="F410" t="s">
        <v>2017</v>
      </c>
      <c r="G410" t="s">
        <v>2019</v>
      </c>
      <c r="H410" t="s">
        <v>2024</v>
      </c>
      <c r="I410">
        <v>38</v>
      </c>
      <c r="J410" t="s">
        <v>2032</v>
      </c>
      <c r="K410" t="s">
        <v>2036</v>
      </c>
    </row>
    <row r="411" spans="1:11" x14ac:dyDescent="0.3">
      <c r="A411" s="6" t="s">
        <v>420</v>
      </c>
      <c r="B411" t="s">
        <v>1419</v>
      </c>
      <c r="C411" t="s">
        <v>2007</v>
      </c>
      <c r="D411">
        <v>18</v>
      </c>
      <c r="E411" t="s">
        <v>2012</v>
      </c>
      <c r="F411" t="s">
        <v>2016</v>
      </c>
      <c r="G411" t="s">
        <v>2019</v>
      </c>
      <c r="H411" t="s">
        <v>2023</v>
      </c>
      <c r="I411">
        <v>59</v>
      </c>
      <c r="J411" t="s">
        <v>2033</v>
      </c>
      <c r="K411" t="s">
        <v>2035</v>
      </c>
    </row>
    <row r="412" spans="1:11" x14ac:dyDescent="0.3">
      <c r="A412" s="6" t="s">
        <v>421</v>
      </c>
      <c r="B412" t="s">
        <v>1420</v>
      </c>
      <c r="C412" t="s">
        <v>2007</v>
      </c>
      <c r="D412">
        <v>15</v>
      </c>
      <c r="E412" t="s">
        <v>2013</v>
      </c>
      <c r="F412" t="s">
        <v>2014</v>
      </c>
      <c r="G412" t="s">
        <v>2018</v>
      </c>
      <c r="H412" t="s">
        <v>2023</v>
      </c>
      <c r="I412">
        <v>98</v>
      </c>
      <c r="J412" t="s">
        <v>2031</v>
      </c>
      <c r="K412" t="s">
        <v>2035</v>
      </c>
    </row>
    <row r="413" spans="1:11" x14ac:dyDescent="0.3">
      <c r="A413" s="6" t="s">
        <v>422</v>
      </c>
      <c r="B413" t="s">
        <v>1421</v>
      </c>
      <c r="C413" t="s">
        <v>2007</v>
      </c>
      <c r="D413">
        <v>15</v>
      </c>
      <c r="E413" t="s">
        <v>2013</v>
      </c>
      <c r="F413" t="s">
        <v>2016</v>
      </c>
      <c r="G413" t="s">
        <v>2020</v>
      </c>
      <c r="H413" t="s">
        <v>2024</v>
      </c>
      <c r="I413">
        <v>99</v>
      </c>
      <c r="J413" t="s">
        <v>2034</v>
      </c>
      <c r="K413" t="s">
        <v>2035</v>
      </c>
    </row>
    <row r="414" spans="1:11" x14ac:dyDescent="0.3">
      <c r="A414" s="6" t="s">
        <v>423</v>
      </c>
      <c r="B414" t="s">
        <v>1422</v>
      </c>
      <c r="C414" t="s">
        <v>2008</v>
      </c>
      <c r="D414">
        <v>15</v>
      </c>
      <c r="E414" t="s">
        <v>2012</v>
      </c>
      <c r="F414" t="s">
        <v>2015</v>
      </c>
      <c r="G414" t="s">
        <v>2019</v>
      </c>
      <c r="H414" t="s">
        <v>2023</v>
      </c>
      <c r="I414">
        <v>39</v>
      </c>
      <c r="J414" t="s">
        <v>2034</v>
      </c>
      <c r="K414" t="s">
        <v>2036</v>
      </c>
    </row>
    <row r="415" spans="1:11" x14ac:dyDescent="0.3">
      <c r="A415" s="6" t="s">
        <v>424</v>
      </c>
      <c r="B415" t="s">
        <v>1423</v>
      </c>
      <c r="C415" t="s">
        <v>2008</v>
      </c>
      <c r="D415">
        <v>17</v>
      </c>
      <c r="E415" t="s">
        <v>2009</v>
      </c>
      <c r="F415" t="s">
        <v>2016</v>
      </c>
      <c r="G415" t="s">
        <v>2018</v>
      </c>
      <c r="H415" t="s">
        <v>2024</v>
      </c>
      <c r="I415">
        <v>9</v>
      </c>
      <c r="J415" t="s">
        <v>2033</v>
      </c>
      <c r="K415" t="s">
        <v>2036</v>
      </c>
    </row>
    <row r="416" spans="1:11" x14ac:dyDescent="0.3">
      <c r="A416" s="6" t="s">
        <v>425</v>
      </c>
      <c r="B416" t="s">
        <v>1424</v>
      </c>
      <c r="C416" t="s">
        <v>2008</v>
      </c>
      <c r="D416">
        <v>18</v>
      </c>
      <c r="E416" t="s">
        <v>2013</v>
      </c>
      <c r="F416" t="s">
        <v>2015</v>
      </c>
      <c r="G416" t="s">
        <v>2019</v>
      </c>
      <c r="H416" t="s">
        <v>2023</v>
      </c>
      <c r="I416">
        <v>68</v>
      </c>
      <c r="J416" t="s">
        <v>2034</v>
      </c>
      <c r="K416" t="s">
        <v>2035</v>
      </c>
    </row>
    <row r="417" spans="1:11" x14ac:dyDescent="0.3">
      <c r="A417" s="6" t="s">
        <v>426</v>
      </c>
      <c r="B417" t="s">
        <v>1425</v>
      </c>
      <c r="C417" t="s">
        <v>2008</v>
      </c>
      <c r="D417">
        <v>18</v>
      </c>
      <c r="E417" t="s">
        <v>2010</v>
      </c>
      <c r="F417" t="s">
        <v>2017</v>
      </c>
      <c r="G417" t="s">
        <v>2018</v>
      </c>
      <c r="H417" t="s">
        <v>2024</v>
      </c>
      <c r="I417">
        <v>74</v>
      </c>
      <c r="J417" t="s">
        <v>2033</v>
      </c>
      <c r="K417" t="s">
        <v>2035</v>
      </c>
    </row>
    <row r="418" spans="1:11" x14ac:dyDescent="0.3">
      <c r="A418" s="6" t="s">
        <v>427</v>
      </c>
      <c r="B418" t="s">
        <v>1426</v>
      </c>
      <c r="C418" t="s">
        <v>2007</v>
      </c>
      <c r="D418">
        <v>15</v>
      </c>
      <c r="E418" t="s">
        <v>2010</v>
      </c>
      <c r="F418" t="s">
        <v>2016</v>
      </c>
      <c r="G418" t="s">
        <v>2018</v>
      </c>
      <c r="H418" t="s">
        <v>2024</v>
      </c>
      <c r="I418">
        <v>90</v>
      </c>
      <c r="J418" t="s">
        <v>2033</v>
      </c>
      <c r="K418" t="s">
        <v>2035</v>
      </c>
    </row>
    <row r="419" spans="1:11" x14ac:dyDescent="0.3">
      <c r="A419" s="6" t="s">
        <v>428</v>
      </c>
      <c r="B419" t="s">
        <v>1427</v>
      </c>
      <c r="C419" t="s">
        <v>2007</v>
      </c>
      <c r="D419">
        <v>16</v>
      </c>
      <c r="E419" t="s">
        <v>2010</v>
      </c>
      <c r="F419" t="s">
        <v>2014</v>
      </c>
      <c r="G419" t="s">
        <v>2020</v>
      </c>
      <c r="H419" t="s">
        <v>2024</v>
      </c>
      <c r="I419">
        <v>44</v>
      </c>
      <c r="J419" t="s">
        <v>2031</v>
      </c>
      <c r="K419" t="s">
        <v>2036</v>
      </c>
    </row>
    <row r="420" spans="1:11" x14ac:dyDescent="0.3">
      <c r="A420" s="6" t="s">
        <v>429</v>
      </c>
      <c r="B420" t="s">
        <v>1428</v>
      </c>
      <c r="C420" t="s">
        <v>2007</v>
      </c>
      <c r="D420">
        <v>18</v>
      </c>
      <c r="E420" t="s">
        <v>2011</v>
      </c>
      <c r="F420" t="s">
        <v>2015</v>
      </c>
      <c r="G420" t="s">
        <v>2022</v>
      </c>
      <c r="H420" t="s">
        <v>2024</v>
      </c>
      <c r="I420">
        <v>54</v>
      </c>
      <c r="J420" t="s">
        <v>2027</v>
      </c>
      <c r="K420" t="s">
        <v>2035</v>
      </c>
    </row>
    <row r="421" spans="1:11" x14ac:dyDescent="0.3">
      <c r="A421" s="6" t="s">
        <v>430</v>
      </c>
      <c r="B421" t="s">
        <v>1429</v>
      </c>
      <c r="C421" t="s">
        <v>2008</v>
      </c>
      <c r="D421">
        <v>18</v>
      </c>
      <c r="E421" t="s">
        <v>2013</v>
      </c>
      <c r="F421" t="s">
        <v>2014</v>
      </c>
      <c r="G421" t="s">
        <v>2018</v>
      </c>
      <c r="H421" t="s">
        <v>2023</v>
      </c>
      <c r="I421">
        <v>74</v>
      </c>
      <c r="J421" t="s">
        <v>2027</v>
      </c>
      <c r="K421" t="s">
        <v>2035</v>
      </c>
    </row>
    <row r="422" spans="1:11" x14ac:dyDescent="0.3">
      <c r="A422" s="6" t="s">
        <v>431</v>
      </c>
      <c r="B422" t="s">
        <v>1430</v>
      </c>
      <c r="C422" t="s">
        <v>2007</v>
      </c>
      <c r="D422">
        <v>16</v>
      </c>
      <c r="E422" t="s">
        <v>2010</v>
      </c>
      <c r="F422" t="s">
        <v>2016</v>
      </c>
      <c r="G422" t="s">
        <v>2021</v>
      </c>
      <c r="H422" t="s">
        <v>2024</v>
      </c>
      <c r="I422">
        <v>0</v>
      </c>
      <c r="J422" t="s">
        <v>2026</v>
      </c>
      <c r="K422" t="s">
        <v>2036</v>
      </c>
    </row>
    <row r="423" spans="1:11" x14ac:dyDescent="0.3">
      <c r="A423" s="6" t="s">
        <v>432</v>
      </c>
      <c r="B423" t="s">
        <v>1431</v>
      </c>
      <c r="C423" t="s">
        <v>2008</v>
      </c>
      <c r="D423">
        <v>17</v>
      </c>
      <c r="E423" t="s">
        <v>2010</v>
      </c>
      <c r="F423" t="s">
        <v>2015</v>
      </c>
      <c r="G423" t="s">
        <v>2018</v>
      </c>
      <c r="H423" t="s">
        <v>2023</v>
      </c>
      <c r="I423">
        <v>19</v>
      </c>
      <c r="J423" t="s">
        <v>2025</v>
      </c>
      <c r="K423" t="s">
        <v>2036</v>
      </c>
    </row>
    <row r="424" spans="1:11" x14ac:dyDescent="0.3">
      <c r="A424" s="6" t="s">
        <v>433</v>
      </c>
      <c r="B424" t="s">
        <v>1432</v>
      </c>
      <c r="C424" t="s">
        <v>2007</v>
      </c>
      <c r="D424">
        <v>17</v>
      </c>
      <c r="E424" t="s">
        <v>2010</v>
      </c>
      <c r="F424" t="s">
        <v>2015</v>
      </c>
      <c r="G424" t="s">
        <v>2018</v>
      </c>
      <c r="H424" t="s">
        <v>2024</v>
      </c>
      <c r="I424">
        <v>100</v>
      </c>
      <c r="J424" t="s">
        <v>2032</v>
      </c>
      <c r="K424" t="s">
        <v>2035</v>
      </c>
    </row>
    <row r="425" spans="1:11" x14ac:dyDescent="0.3">
      <c r="A425" s="6" t="s">
        <v>434</v>
      </c>
      <c r="B425" t="s">
        <v>1433</v>
      </c>
      <c r="C425" t="s">
        <v>2007</v>
      </c>
      <c r="D425">
        <v>18</v>
      </c>
      <c r="E425" t="s">
        <v>2009</v>
      </c>
      <c r="F425" t="s">
        <v>2015</v>
      </c>
      <c r="G425" t="s">
        <v>2022</v>
      </c>
      <c r="H425" t="s">
        <v>2023</v>
      </c>
      <c r="I425">
        <v>85</v>
      </c>
      <c r="J425" t="s">
        <v>2033</v>
      </c>
      <c r="K425" t="s">
        <v>2035</v>
      </c>
    </row>
    <row r="426" spans="1:11" x14ac:dyDescent="0.3">
      <c r="A426" s="6" t="s">
        <v>435</v>
      </c>
      <c r="B426" t="s">
        <v>1434</v>
      </c>
      <c r="C426" t="s">
        <v>2007</v>
      </c>
      <c r="D426">
        <v>15</v>
      </c>
      <c r="E426" t="s">
        <v>2010</v>
      </c>
      <c r="F426" t="s">
        <v>2014</v>
      </c>
      <c r="G426" t="s">
        <v>2019</v>
      </c>
      <c r="H426" t="s">
        <v>2023</v>
      </c>
      <c r="I426">
        <v>10</v>
      </c>
      <c r="J426" t="s">
        <v>2026</v>
      </c>
      <c r="K426" t="s">
        <v>2036</v>
      </c>
    </row>
    <row r="427" spans="1:11" x14ac:dyDescent="0.3">
      <c r="A427" s="6" t="s">
        <v>436</v>
      </c>
      <c r="B427" t="s">
        <v>1435</v>
      </c>
      <c r="C427" t="s">
        <v>2008</v>
      </c>
      <c r="D427">
        <v>17</v>
      </c>
      <c r="E427" t="s">
        <v>2011</v>
      </c>
      <c r="F427" t="s">
        <v>2017</v>
      </c>
      <c r="G427" t="s">
        <v>2021</v>
      </c>
      <c r="H427" t="s">
        <v>2024</v>
      </c>
      <c r="I427">
        <v>21</v>
      </c>
      <c r="J427" t="s">
        <v>2029</v>
      </c>
      <c r="K427" t="s">
        <v>2036</v>
      </c>
    </row>
    <row r="428" spans="1:11" x14ac:dyDescent="0.3">
      <c r="A428" s="6" t="s">
        <v>437</v>
      </c>
      <c r="B428" t="s">
        <v>1436</v>
      </c>
      <c r="C428" t="s">
        <v>2007</v>
      </c>
      <c r="D428">
        <v>16</v>
      </c>
      <c r="E428" t="s">
        <v>2010</v>
      </c>
      <c r="F428" t="s">
        <v>2015</v>
      </c>
      <c r="G428" t="s">
        <v>2022</v>
      </c>
      <c r="H428" t="s">
        <v>2023</v>
      </c>
      <c r="I428">
        <v>47</v>
      </c>
      <c r="J428" t="s">
        <v>2027</v>
      </c>
      <c r="K428" t="s">
        <v>2036</v>
      </c>
    </row>
    <row r="429" spans="1:11" x14ac:dyDescent="0.3">
      <c r="A429" s="6" t="s">
        <v>438</v>
      </c>
      <c r="B429" t="s">
        <v>1437</v>
      </c>
      <c r="C429" t="s">
        <v>2007</v>
      </c>
      <c r="D429">
        <v>15</v>
      </c>
      <c r="E429" t="s">
        <v>2010</v>
      </c>
      <c r="F429" t="s">
        <v>2016</v>
      </c>
      <c r="G429" t="s">
        <v>2018</v>
      </c>
      <c r="H429" t="s">
        <v>2024</v>
      </c>
      <c r="I429">
        <v>30</v>
      </c>
      <c r="J429" t="s">
        <v>2030</v>
      </c>
      <c r="K429" t="s">
        <v>2036</v>
      </c>
    </row>
    <row r="430" spans="1:11" x14ac:dyDescent="0.3">
      <c r="A430" s="6" t="s">
        <v>439</v>
      </c>
      <c r="B430" t="s">
        <v>1438</v>
      </c>
      <c r="C430" t="s">
        <v>2008</v>
      </c>
      <c r="D430">
        <v>15</v>
      </c>
      <c r="E430" t="s">
        <v>2009</v>
      </c>
      <c r="F430" t="s">
        <v>2017</v>
      </c>
      <c r="G430" t="s">
        <v>2018</v>
      </c>
      <c r="H430" t="s">
        <v>2024</v>
      </c>
      <c r="I430">
        <v>85</v>
      </c>
      <c r="J430" t="s">
        <v>2031</v>
      </c>
      <c r="K430" t="s">
        <v>2035</v>
      </c>
    </row>
    <row r="431" spans="1:11" x14ac:dyDescent="0.3">
      <c r="A431" s="6" t="s">
        <v>440</v>
      </c>
      <c r="B431" t="s">
        <v>1439</v>
      </c>
      <c r="C431" t="s">
        <v>2008</v>
      </c>
      <c r="D431">
        <v>16</v>
      </c>
      <c r="E431" t="s">
        <v>2013</v>
      </c>
      <c r="F431" t="s">
        <v>2017</v>
      </c>
      <c r="G431" t="s">
        <v>2022</v>
      </c>
      <c r="H431" t="s">
        <v>2024</v>
      </c>
      <c r="I431">
        <v>13</v>
      </c>
      <c r="J431" t="s">
        <v>2025</v>
      </c>
      <c r="K431" t="s">
        <v>2036</v>
      </c>
    </row>
    <row r="432" spans="1:11" x14ac:dyDescent="0.3">
      <c r="A432" s="6" t="s">
        <v>441</v>
      </c>
      <c r="B432" t="s">
        <v>1440</v>
      </c>
      <c r="C432" t="s">
        <v>2007</v>
      </c>
      <c r="D432">
        <v>18</v>
      </c>
      <c r="E432" t="s">
        <v>2013</v>
      </c>
      <c r="F432" t="s">
        <v>2014</v>
      </c>
      <c r="G432" t="s">
        <v>2018</v>
      </c>
      <c r="H432" t="s">
        <v>2023</v>
      </c>
      <c r="I432">
        <v>13</v>
      </c>
      <c r="J432" t="s">
        <v>2031</v>
      </c>
      <c r="K432" t="s">
        <v>2036</v>
      </c>
    </row>
    <row r="433" spans="1:11" x14ac:dyDescent="0.3">
      <c r="A433" s="6" t="s">
        <v>442</v>
      </c>
      <c r="B433" t="s">
        <v>1441</v>
      </c>
      <c r="C433" t="s">
        <v>2008</v>
      </c>
      <c r="D433">
        <v>16</v>
      </c>
      <c r="E433" t="s">
        <v>2010</v>
      </c>
      <c r="F433" t="s">
        <v>2016</v>
      </c>
      <c r="G433" t="s">
        <v>2021</v>
      </c>
      <c r="H433" t="s">
        <v>2023</v>
      </c>
      <c r="I433">
        <v>4</v>
      </c>
      <c r="J433" t="s">
        <v>2030</v>
      </c>
      <c r="K433" t="s">
        <v>2036</v>
      </c>
    </row>
    <row r="434" spans="1:11" x14ac:dyDescent="0.3">
      <c r="A434" s="6" t="s">
        <v>443</v>
      </c>
      <c r="B434" t="s">
        <v>1442</v>
      </c>
      <c r="C434" t="s">
        <v>2008</v>
      </c>
      <c r="D434">
        <v>17</v>
      </c>
      <c r="E434" t="s">
        <v>2010</v>
      </c>
      <c r="F434" t="s">
        <v>2016</v>
      </c>
      <c r="G434" t="s">
        <v>2022</v>
      </c>
      <c r="H434" t="s">
        <v>2024</v>
      </c>
      <c r="I434">
        <v>51</v>
      </c>
      <c r="J434" t="s">
        <v>2027</v>
      </c>
      <c r="K434" t="s">
        <v>2035</v>
      </c>
    </row>
    <row r="435" spans="1:11" x14ac:dyDescent="0.3">
      <c r="A435" s="6" t="s">
        <v>444</v>
      </c>
      <c r="B435" t="s">
        <v>1443</v>
      </c>
      <c r="C435" t="s">
        <v>2008</v>
      </c>
      <c r="D435">
        <v>15</v>
      </c>
      <c r="E435" t="s">
        <v>2009</v>
      </c>
      <c r="F435" t="s">
        <v>2016</v>
      </c>
      <c r="G435" t="s">
        <v>2019</v>
      </c>
      <c r="H435" t="s">
        <v>2023</v>
      </c>
      <c r="I435">
        <v>42</v>
      </c>
      <c r="J435" t="s">
        <v>2030</v>
      </c>
      <c r="K435" t="s">
        <v>2036</v>
      </c>
    </row>
    <row r="436" spans="1:11" x14ac:dyDescent="0.3">
      <c r="A436" s="6" t="s">
        <v>445</v>
      </c>
      <c r="B436" t="s">
        <v>1444</v>
      </c>
      <c r="C436" t="s">
        <v>2008</v>
      </c>
      <c r="D436">
        <v>14</v>
      </c>
      <c r="E436" t="s">
        <v>2010</v>
      </c>
      <c r="F436" t="s">
        <v>2017</v>
      </c>
      <c r="G436" t="s">
        <v>2021</v>
      </c>
      <c r="H436" t="s">
        <v>2024</v>
      </c>
      <c r="I436">
        <v>10</v>
      </c>
      <c r="J436" t="s">
        <v>2028</v>
      </c>
      <c r="K436" t="s">
        <v>2036</v>
      </c>
    </row>
    <row r="437" spans="1:11" x14ac:dyDescent="0.3">
      <c r="A437" s="6" t="s">
        <v>446</v>
      </c>
      <c r="B437" t="s">
        <v>1445</v>
      </c>
      <c r="C437" t="s">
        <v>2007</v>
      </c>
      <c r="D437">
        <v>15</v>
      </c>
      <c r="E437" t="s">
        <v>2009</v>
      </c>
      <c r="F437" t="s">
        <v>2017</v>
      </c>
      <c r="G437" t="s">
        <v>2022</v>
      </c>
      <c r="H437" t="s">
        <v>2023</v>
      </c>
      <c r="I437">
        <v>51</v>
      </c>
      <c r="J437" t="s">
        <v>2026</v>
      </c>
      <c r="K437" t="s">
        <v>2035</v>
      </c>
    </row>
    <row r="438" spans="1:11" x14ac:dyDescent="0.3">
      <c r="A438" s="6" t="s">
        <v>447</v>
      </c>
      <c r="B438" t="s">
        <v>1446</v>
      </c>
      <c r="C438" t="s">
        <v>2008</v>
      </c>
      <c r="D438">
        <v>16</v>
      </c>
      <c r="E438" t="s">
        <v>2009</v>
      </c>
      <c r="F438" t="s">
        <v>2016</v>
      </c>
      <c r="G438" t="s">
        <v>2020</v>
      </c>
      <c r="H438" t="s">
        <v>2024</v>
      </c>
      <c r="I438">
        <v>9</v>
      </c>
      <c r="J438" t="s">
        <v>2026</v>
      </c>
      <c r="K438" t="s">
        <v>2036</v>
      </c>
    </row>
    <row r="439" spans="1:11" x14ac:dyDescent="0.3">
      <c r="A439" s="6" t="s">
        <v>448</v>
      </c>
      <c r="B439" t="s">
        <v>1447</v>
      </c>
      <c r="C439" t="s">
        <v>2008</v>
      </c>
      <c r="D439">
        <v>15</v>
      </c>
      <c r="E439" t="s">
        <v>2009</v>
      </c>
      <c r="F439" t="s">
        <v>2016</v>
      </c>
      <c r="G439" t="s">
        <v>2019</v>
      </c>
      <c r="H439" t="s">
        <v>2024</v>
      </c>
      <c r="I439">
        <v>14</v>
      </c>
      <c r="J439" t="s">
        <v>2029</v>
      </c>
      <c r="K439" t="s">
        <v>2036</v>
      </c>
    </row>
    <row r="440" spans="1:11" x14ac:dyDescent="0.3">
      <c r="A440" s="6" t="s">
        <v>449</v>
      </c>
      <c r="B440" t="s">
        <v>1448</v>
      </c>
      <c r="C440" t="s">
        <v>2007</v>
      </c>
      <c r="D440">
        <v>16</v>
      </c>
      <c r="E440" t="s">
        <v>2011</v>
      </c>
      <c r="F440" t="s">
        <v>2017</v>
      </c>
      <c r="G440" t="s">
        <v>2022</v>
      </c>
      <c r="H440" t="s">
        <v>2023</v>
      </c>
      <c r="I440">
        <v>27</v>
      </c>
      <c r="J440" t="s">
        <v>2029</v>
      </c>
      <c r="K440" t="s">
        <v>2036</v>
      </c>
    </row>
    <row r="441" spans="1:11" x14ac:dyDescent="0.3">
      <c r="A441" s="6" t="s">
        <v>450</v>
      </c>
      <c r="B441" t="s">
        <v>1449</v>
      </c>
      <c r="C441" t="s">
        <v>2007</v>
      </c>
      <c r="D441">
        <v>14</v>
      </c>
      <c r="E441" t="s">
        <v>2013</v>
      </c>
      <c r="F441" t="s">
        <v>2014</v>
      </c>
      <c r="G441" t="s">
        <v>2019</v>
      </c>
      <c r="H441" t="s">
        <v>2023</v>
      </c>
      <c r="I441">
        <v>27</v>
      </c>
      <c r="J441" t="s">
        <v>2032</v>
      </c>
      <c r="K441" t="s">
        <v>2036</v>
      </c>
    </row>
    <row r="442" spans="1:11" x14ac:dyDescent="0.3">
      <c r="A442" s="6" t="s">
        <v>451</v>
      </c>
      <c r="B442" t="s">
        <v>1450</v>
      </c>
      <c r="C442" t="s">
        <v>2008</v>
      </c>
      <c r="D442">
        <v>17</v>
      </c>
      <c r="E442" t="s">
        <v>2013</v>
      </c>
      <c r="F442" t="s">
        <v>2014</v>
      </c>
      <c r="G442" t="s">
        <v>2018</v>
      </c>
      <c r="H442" t="s">
        <v>2023</v>
      </c>
      <c r="I442">
        <v>29</v>
      </c>
      <c r="J442" t="s">
        <v>2031</v>
      </c>
      <c r="K442" t="s">
        <v>2036</v>
      </c>
    </row>
    <row r="443" spans="1:11" x14ac:dyDescent="0.3">
      <c r="A443" s="6" t="s">
        <v>452</v>
      </c>
      <c r="B443" t="s">
        <v>1451</v>
      </c>
      <c r="C443" t="s">
        <v>2008</v>
      </c>
      <c r="D443">
        <v>16</v>
      </c>
      <c r="E443" t="s">
        <v>2009</v>
      </c>
      <c r="F443" t="s">
        <v>2014</v>
      </c>
      <c r="G443" t="s">
        <v>2019</v>
      </c>
      <c r="H443" t="s">
        <v>2024</v>
      </c>
      <c r="I443">
        <v>28</v>
      </c>
      <c r="J443" t="s">
        <v>2028</v>
      </c>
      <c r="K443" t="s">
        <v>2036</v>
      </c>
    </row>
    <row r="444" spans="1:11" x14ac:dyDescent="0.3">
      <c r="A444" s="6" t="s">
        <v>453</v>
      </c>
      <c r="B444" t="s">
        <v>1452</v>
      </c>
      <c r="C444" t="s">
        <v>2007</v>
      </c>
      <c r="D444">
        <v>17</v>
      </c>
      <c r="E444" t="s">
        <v>2011</v>
      </c>
      <c r="F444" t="s">
        <v>2016</v>
      </c>
      <c r="G444" t="s">
        <v>2020</v>
      </c>
      <c r="H444" t="s">
        <v>2023</v>
      </c>
      <c r="I444">
        <v>35</v>
      </c>
      <c r="J444" t="s">
        <v>2027</v>
      </c>
      <c r="K444" t="s">
        <v>2036</v>
      </c>
    </row>
    <row r="445" spans="1:11" x14ac:dyDescent="0.3">
      <c r="A445" s="6" t="s">
        <v>454</v>
      </c>
      <c r="B445" t="s">
        <v>1453</v>
      </c>
      <c r="C445" t="s">
        <v>2007</v>
      </c>
      <c r="D445">
        <v>17</v>
      </c>
      <c r="E445" t="s">
        <v>2010</v>
      </c>
      <c r="F445" t="s">
        <v>2014</v>
      </c>
      <c r="G445" t="s">
        <v>2018</v>
      </c>
      <c r="H445" t="s">
        <v>2023</v>
      </c>
      <c r="I445">
        <v>26</v>
      </c>
      <c r="J445" t="s">
        <v>2029</v>
      </c>
      <c r="K445" t="s">
        <v>2036</v>
      </c>
    </row>
    <row r="446" spans="1:11" x14ac:dyDescent="0.3">
      <c r="A446" s="6" t="s">
        <v>455</v>
      </c>
      <c r="B446" t="s">
        <v>1454</v>
      </c>
      <c r="C446" t="s">
        <v>2008</v>
      </c>
      <c r="D446">
        <v>15</v>
      </c>
      <c r="E446" t="s">
        <v>2011</v>
      </c>
      <c r="F446" t="s">
        <v>2016</v>
      </c>
      <c r="G446" t="s">
        <v>2020</v>
      </c>
      <c r="H446" t="s">
        <v>2023</v>
      </c>
      <c r="I446">
        <v>87</v>
      </c>
      <c r="J446" t="s">
        <v>2027</v>
      </c>
      <c r="K446" t="s">
        <v>2035</v>
      </c>
    </row>
    <row r="447" spans="1:11" x14ac:dyDescent="0.3">
      <c r="A447" s="6" t="s">
        <v>456</v>
      </c>
      <c r="B447" t="s">
        <v>1455</v>
      </c>
      <c r="C447" t="s">
        <v>2007</v>
      </c>
      <c r="D447">
        <v>14</v>
      </c>
      <c r="E447" t="s">
        <v>2011</v>
      </c>
      <c r="F447" t="s">
        <v>2015</v>
      </c>
      <c r="G447" t="s">
        <v>2020</v>
      </c>
      <c r="H447" t="s">
        <v>2024</v>
      </c>
      <c r="I447">
        <v>98</v>
      </c>
      <c r="J447" t="s">
        <v>2034</v>
      </c>
      <c r="K447" t="s">
        <v>2035</v>
      </c>
    </row>
    <row r="448" spans="1:11" x14ac:dyDescent="0.3">
      <c r="A448" s="6" t="s">
        <v>457</v>
      </c>
      <c r="B448" t="s">
        <v>1456</v>
      </c>
      <c r="C448" t="s">
        <v>2007</v>
      </c>
      <c r="D448">
        <v>18</v>
      </c>
      <c r="E448" t="s">
        <v>2009</v>
      </c>
      <c r="F448" t="s">
        <v>2015</v>
      </c>
      <c r="G448" t="s">
        <v>2019</v>
      </c>
      <c r="H448" t="s">
        <v>2024</v>
      </c>
      <c r="I448">
        <v>94</v>
      </c>
      <c r="J448" t="s">
        <v>2026</v>
      </c>
      <c r="K448" t="s">
        <v>2035</v>
      </c>
    </row>
    <row r="449" spans="1:11" x14ac:dyDescent="0.3">
      <c r="A449" s="6" t="s">
        <v>458</v>
      </c>
      <c r="B449" t="s">
        <v>1457</v>
      </c>
      <c r="C449" t="s">
        <v>2008</v>
      </c>
      <c r="D449">
        <v>14</v>
      </c>
      <c r="E449" t="s">
        <v>2013</v>
      </c>
      <c r="F449" t="s">
        <v>2017</v>
      </c>
      <c r="G449" t="s">
        <v>2018</v>
      </c>
      <c r="H449" t="s">
        <v>2024</v>
      </c>
      <c r="I449">
        <v>50</v>
      </c>
      <c r="J449" t="s">
        <v>2027</v>
      </c>
      <c r="K449" t="s">
        <v>2035</v>
      </c>
    </row>
    <row r="450" spans="1:11" x14ac:dyDescent="0.3">
      <c r="A450" s="6" t="s">
        <v>459</v>
      </c>
      <c r="B450" t="s">
        <v>1458</v>
      </c>
      <c r="C450" t="s">
        <v>2008</v>
      </c>
      <c r="D450">
        <v>15</v>
      </c>
      <c r="E450" t="s">
        <v>2011</v>
      </c>
      <c r="F450" t="s">
        <v>2017</v>
      </c>
      <c r="G450" t="s">
        <v>2022</v>
      </c>
      <c r="H450" t="s">
        <v>2023</v>
      </c>
      <c r="I450">
        <v>82</v>
      </c>
      <c r="J450" t="s">
        <v>2034</v>
      </c>
      <c r="K450" t="s">
        <v>2035</v>
      </c>
    </row>
    <row r="451" spans="1:11" x14ac:dyDescent="0.3">
      <c r="A451" s="6" t="s">
        <v>460</v>
      </c>
      <c r="B451" t="s">
        <v>1459</v>
      </c>
      <c r="C451" t="s">
        <v>2008</v>
      </c>
      <c r="D451">
        <v>17</v>
      </c>
      <c r="E451" t="s">
        <v>2011</v>
      </c>
      <c r="F451" t="s">
        <v>2017</v>
      </c>
      <c r="G451" t="s">
        <v>2018</v>
      </c>
      <c r="H451" t="s">
        <v>2023</v>
      </c>
      <c r="I451">
        <v>61</v>
      </c>
      <c r="J451" t="s">
        <v>2031</v>
      </c>
      <c r="K451" t="s">
        <v>2035</v>
      </c>
    </row>
    <row r="452" spans="1:11" x14ac:dyDescent="0.3">
      <c r="A452" s="6" t="s">
        <v>461</v>
      </c>
      <c r="B452" t="s">
        <v>1460</v>
      </c>
      <c r="C452" t="s">
        <v>2007</v>
      </c>
      <c r="D452">
        <v>14</v>
      </c>
      <c r="E452" t="s">
        <v>2010</v>
      </c>
      <c r="F452" t="s">
        <v>2014</v>
      </c>
      <c r="G452" t="s">
        <v>2019</v>
      </c>
      <c r="H452" t="s">
        <v>2023</v>
      </c>
      <c r="I452">
        <v>16</v>
      </c>
      <c r="J452" t="s">
        <v>2033</v>
      </c>
      <c r="K452" t="s">
        <v>2036</v>
      </c>
    </row>
    <row r="453" spans="1:11" x14ac:dyDescent="0.3">
      <c r="A453" s="6" t="s">
        <v>462</v>
      </c>
      <c r="B453" t="s">
        <v>1461</v>
      </c>
      <c r="C453" t="s">
        <v>2007</v>
      </c>
      <c r="D453">
        <v>17</v>
      </c>
      <c r="E453" t="s">
        <v>2011</v>
      </c>
      <c r="F453" t="s">
        <v>2016</v>
      </c>
      <c r="G453" t="s">
        <v>2020</v>
      </c>
      <c r="H453" t="s">
        <v>2024</v>
      </c>
      <c r="I453">
        <v>100</v>
      </c>
      <c r="J453" t="s">
        <v>2029</v>
      </c>
      <c r="K453" t="s">
        <v>2035</v>
      </c>
    </row>
    <row r="454" spans="1:11" x14ac:dyDescent="0.3">
      <c r="A454" s="6" t="s">
        <v>463</v>
      </c>
      <c r="B454" t="s">
        <v>1462</v>
      </c>
      <c r="C454" t="s">
        <v>2007</v>
      </c>
      <c r="D454">
        <v>15</v>
      </c>
      <c r="E454" t="s">
        <v>2012</v>
      </c>
      <c r="F454" t="s">
        <v>2016</v>
      </c>
      <c r="G454" t="s">
        <v>2018</v>
      </c>
      <c r="H454" t="s">
        <v>2023</v>
      </c>
      <c r="I454">
        <v>68</v>
      </c>
      <c r="J454" t="s">
        <v>2029</v>
      </c>
      <c r="K454" t="s">
        <v>2035</v>
      </c>
    </row>
    <row r="455" spans="1:11" x14ac:dyDescent="0.3">
      <c r="A455" s="6" t="s">
        <v>464</v>
      </c>
      <c r="B455" t="s">
        <v>1463</v>
      </c>
      <c r="C455" t="s">
        <v>2008</v>
      </c>
      <c r="D455">
        <v>16</v>
      </c>
      <c r="E455" t="s">
        <v>2011</v>
      </c>
      <c r="F455" t="s">
        <v>2014</v>
      </c>
      <c r="G455" t="s">
        <v>2021</v>
      </c>
      <c r="H455" t="s">
        <v>2024</v>
      </c>
      <c r="I455">
        <v>2</v>
      </c>
      <c r="J455" t="s">
        <v>2028</v>
      </c>
      <c r="K455" t="s">
        <v>2036</v>
      </c>
    </row>
    <row r="456" spans="1:11" x14ac:dyDescent="0.3">
      <c r="A456" s="6" t="s">
        <v>465</v>
      </c>
      <c r="B456" t="s">
        <v>1464</v>
      </c>
      <c r="C456" t="s">
        <v>2008</v>
      </c>
      <c r="D456">
        <v>16</v>
      </c>
      <c r="E456" t="s">
        <v>2012</v>
      </c>
      <c r="F456" t="s">
        <v>2016</v>
      </c>
      <c r="G456" t="s">
        <v>2018</v>
      </c>
      <c r="H456" t="s">
        <v>2023</v>
      </c>
      <c r="I456">
        <v>85</v>
      </c>
      <c r="J456" t="s">
        <v>2029</v>
      </c>
      <c r="K456" t="s">
        <v>2035</v>
      </c>
    </row>
    <row r="457" spans="1:11" x14ac:dyDescent="0.3">
      <c r="A457" s="6" t="s">
        <v>466</v>
      </c>
      <c r="B457" t="s">
        <v>1465</v>
      </c>
      <c r="C457" t="s">
        <v>2008</v>
      </c>
      <c r="D457">
        <v>14</v>
      </c>
      <c r="E457" t="s">
        <v>2011</v>
      </c>
      <c r="F457" t="s">
        <v>2015</v>
      </c>
      <c r="G457" t="s">
        <v>2020</v>
      </c>
      <c r="H457" t="s">
        <v>2024</v>
      </c>
      <c r="I457">
        <v>46</v>
      </c>
      <c r="J457" t="s">
        <v>2030</v>
      </c>
      <c r="K457" t="s">
        <v>2036</v>
      </c>
    </row>
    <row r="458" spans="1:11" x14ac:dyDescent="0.3">
      <c r="A458" s="6" t="s">
        <v>467</v>
      </c>
      <c r="B458" t="s">
        <v>1466</v>
      </c>
      <c r="C458" t="s">
        <v>2007</v>
      </c>
      <c r="D458">
        <v>15</v>
      </c>
      <c r="E458" t="s">
        <v>2010</v>
      </c>
      <c r="F458" t="s">
        <v>2014</v>
      </c>
      <c r="G458" t="s">
        <v>2022</v>
      </c>
      <c r="H458" t="s">
        <v>2023</v>
      </c>
      <c r="I458">
        <v>22</v>
      </c>
      <c r="J458" t="s">
        <v>2030</v>
      </c>
      <c r="K458" t="s">
        <v>2036</v>
      </c>
    </row>
    <row r="459" spans="1:11" x14ac:dyDescent="0.3">
      <c r="A459" s="6" t="s">
        <v>468</v>
      </c>
      <c r="B459" t="s">
        <v>1467</v>
      </c>
      <c r="C459" t="s">
        <v>2007</v>
      </c>
      <c r="D459">
        <v>14</v>
      </c>
      <c r="E459" t="s">
        <v>2013</v>
      </c>
      <c r="F459" t="s">
        <v>2014</v>
      </c>
      <c r="G459" t="s">
        <v>2018</v>
      </c>
      <c r="H459" t="s">
        <v>2024</v>
      </c>
      <c r="I459">
        <v>14</v>
      </c>
      <c r="J459" t="s">
        <v>2026</v>
      </c>
      <c r="K459" t="s">
        <v>2036</v>
      </c>
    </row>
    <row r="460" spans="1:11" x14ac:dyDescent="0.3">
      <c r="A460" s="6" t="s">
        <v>469</v>
      </c>
      <c r="B460" t="s">
        <v>1468</v>
      </c>
      <c r="C460" t="s">
        <v>2008</v>
      </c>
      <c r="D460">
        <v>16</v>
      </c>
      <c r="E460" t="s">
        <v>2011</v>
      </c>
      <c r="F460" t="s">
        <v>2016</v>
      </c>
      <c r="G460" t="s">
        <v>2021</v>
      </c>
      <c r="H460" t="s">
        <v>2024</v>
      </c>
      <c r="I460">
        <v>29</v>
      </c>
      <c r="J460" t="s">
        <v>2030</v>
      </c>
      <c r="K460" t="s">
        <v>2036</v>
      </c>
    </row>
    <row r="461" spans="1:11" x14ac:dyDescent="0.3">
      <c r="A461" s="6" t="s">
        <v>470</v>
      </c>
      <c r="B461" t="s">
        <v>1469</v>
      </c>
      <c r="C461" t="s">
        <v>2008</v>
      </c>
      <c r="D461">
        <v>16</v>
      </c>
      <c r="E461" t="s">
        <v>2012</v>
      </c>
      <c r="F461" t="s">
        <v>2014</v>
      </c>
      <c r="G461" t="s">
        <v>2018</v>
      </c>
      <c r="H461" t="s">
        <v>2023</v>
      </c>
      <c r="I461">
        <v>31</v>
      </c>
      <c r="J461" t="s">
        <v>2025</v>
      </c>
      <c r="K461" t="s">
        <v>2036</v>
      </c>
    </row>
    <row r="462" spans="1:11" x14ac:dyDescent="0.3">
      <c r="A462" s="6" t="s">
        <v>471</v>
      </c>
      <c r="B462" t="s">
        <v>1470</v>
      </c>
      <c r="C462" t="s">
        <v>2007</v>
      </c>
      <c r="D462">
        <v>14</v>
      </c>
      <c r="E462" t="s">
        <v>2013</v>
      </c>
      <c r="F462" t="s">
        <v>2015</v>
      </c>
      <c r="G462" t="s">
        <v>2021</v>
      </c>
      <c r="H462" t="s">
        <v>2023</v>
      </c>
      <c r="I462">
        <v>25</v>
      </c>
      <c r="J462" t="s">
        <v>2026</v>
      </c>
      <c r="K462" t="s">
        <v>2036</v>
      </c>
    </row>
    <row r="463" spans="1:11" x14ac:dyDescent="0.3">
      <c r="A463" s="6" t="s">
        <v>472</v>
      </c>
      <c r="B463" t="s">
        <v>1471</v>
      </c>
      <c r="C463" t="s">
        <v>2008</v>
      </c>
      <c r="D463">
        <v>18</v>
      </c>
      <c r="E463" t="s">
        <v>2011</v>
      </c>
      <c r="F463" t="s">
        <v>2015</v>
      </c>
      <c r="G463" t="s">
        <v>2021</v>
      </c>
      <c r="H463" t="s">
        <v>2023</v>
      </c>
      <c r="I463">
        <v>99</v>
      </c>
      <c r="J463" t="s">
        <v>2026</v>
      </c>
      <c r="K463" t="s">
        <v>2035</v>
      </c>
    </row>
    <row r="464" spans="1:11" x14ac:dyDescent="0.3">
      <c r="A464" s="6" t="s">
        <v>473</v>
      </c>
      <c r="B464" t="s">
        <v>1472</v>
      </c>
      <c r="C464" t="s">
        <v>2008</v>
      </c>
      <c r="D464">
        <v>14</v>
      </c>
      <c r="E464" t="s">
        <v>2011</v>
      </c>
      <c r="F464" t="s">
        <v>2015</v>
      </c>
      <c r="G464" t="s">
        <v>2020</v>
      </c>
      <c r="H464" t="s">
        <v>2023</v>
      </c>
      <c r="I464">
        <v>68</v>
      </c>
      <c r="J464" t="s">
        <v>2029</v>
      </c>
      <c r="K464" t="s">
        <v>2035</v>
      </c>
    </row>
    <row r="465" spans="1:11" x14ac:dyDescent="0.3">
      <c r="A465" s="6" t="s">
        <v>474</v>
      </c>
      <c r="B465" t="s">
        <v>1473</v>
      </c>
      <c r="C465" t="s">
        <v>2007</v>
      </c>
      <c r="D465">
        <v>15</v>
      </c>
      <c r="E465" t="s">
        <v>2011</v>
      </c>
      <c r="F465" t="s">
        <v>2017</v>
      </c>
      <c r="G465" t="s">
        <v>2020</v>
      </c>
      <c r="H465" t="s">
        <v>2024</v>
      </c>
      <c r="I465">
        <v>63</v>
      </c>
      <c r="J465" t="s">
        <v>2030</v>
      </c>
      <c r="K465" t="s">
        <v>2035</v>
      </c>
    </row>
    <row r="466" spans="1:11" x14ac:dyDescent="0.3">
      <c r="A466" s="6" t="s">
        <v>475</v>
      </c>
      <c r="B466" t="s">
        <v>1474</v>
      </c>
      <c r="C466" t="s">
        <v>2007</v>
      </c>
      <c r="D466">
        <v>15</v>
      </c>
      <c r="E466" t="s">
        <v>2009</v>
      </c>
      <c r="F466" t="s">
        <v>2017</v>
      </c>
      <c r="G466" t="s">
        <v>2019</v>
      </c>
      <c r="H466" t="s">
        <v>2024</v>
      </c>
      <c r="I466">
        <v>57</v>
      </c>
      <c r="J466" t="s">
        <v>2030</v>
      </c>
      <c r="K466" t="s">
        <v>2035</v>
      </c>
    </row>
    <row r="467" spans="1:11" x14ac:dyDescent="0.3">
      <c r="A467" s="6" t="s">
        <v>476</v>
      </c>
      <c r="B467" t="s">
        <v>1475</v>
      </c>
      <c r="C467" t="s">
        <v>2008</v>
      </c>
      <c r="D467">
        <v>16</v>
      </c>
      <c r="E467" t="s">
        <v>2009</v>
      </c>
      <c r="F467" t="s">
        <v>2015</v>
      </c>
      <c r="G467" t="s">
        <v>2021</v>
      </c>
      <c r="H467" t="s">
        <v>2024</v>
      </c>
      <c r="I467">
        <v>60</v>
      </c>
      <c r="J467" t="s">
        <v>2028</v>
      </c>
      <c r="K467" t="s">
        <v>2035</v>
      </c>
    </row>
    <row r="468" spans="1:11" x14ac:dyDescent="0.3">
      <c r="A468" s="6" t="s">
        <v>477</v>
      </c>
      <c r="B468" t="s">
        <v>1476</v>
      </c>
      <c r="C468" t="s">
        <v>2007</v>
      </c>
      <c r="D468">
        <v>17</v>
      </c>
      <c r="E468" t="s">
        <v>2012</v>
      </c>
      <c r="F468" t="s">
        <v>2015</v>
      </c>
      <c r="G468" t="s">
        <v>2021</v>
      </c>
      <c r="H468" t="s">
        <v>2023</v>
      </c>
      <c r="I468">
        <v>51</v>
      </c>
      <c r="J468" t="s">
        <v>2031</v>
      </c>
      <c r="K468" t="s">
        <v>2035</v>
      </c>
    </row>
    <row r="469" spans="1:11" x14ac:dyDescent="0.3">
      <c r="A469" s="6" t="s">
        <v>478</v>
      </c>
      <c r="B469" t="s">
        <v>1477</v>
      </c>
      <c r="C469" t="s">
        <v>2007</v>
      </c>
      <c r="D469">
        <v>16</v>
      </c>
      <c r="E469" t="s">
        <v>2013</v>
      </c>
      <c r="F469" t="s">
        <v>2015</v>
      </c>
      <c r="G469" t="s">
        <v>2020</v>
      </c>
      <c r="H469" t="s">
        <v>2023</v>
      </c>
      <c r="I469">
        <v>34</v>
      </c>
      <c r="J469" t="s">
        <v>2031</v>
      </c>
      <c r="K469" t="s">
        <v>2036</v>
      </c>
    </row>
    <row r="470" spans="1:11" x14ac:dyDescent="0.3">
      <c r="A470" s="6" t="s">
        <v>479</v>
      </c>
      <c r="B470" t="s">
        <v>1478</v>
      </c>
      <c r="C470" t="s">
        <v>2007</v>
      </c>
      <c r="D470">
        <v>14</v>
      </c>
      <c r="E470" t="s">
        <v>2013</v>
      </c>
      <c r="F470" t="s">
        <v>2017</v>
      </c>
      <c r="G470" t="s">
        <v>2018</v>
      </c>
      <c r="H470" t="s">
        <v>2024</v>
      </c>
      <c r="I470">
        <v>92</v>
      </c>
      <c r="J470" t="s">
        <v>2032</v>
      </c>
      <c r="K470" t="s">
        <v>2035</v>
      </c>
    </row>
    <row r="471" spans="1:11" x14ac:dyDescent="0.3">
      <c r="A471" s="6" t="s">
        <v>480</v>
      </c>
      <c r="B471" t="s">
        <v>1479</v>
      </c>
      <c r="C471" t="s">
        <v>2008</v>
      </c>
      <c r="D471">
        <v>16</v>
      </c>
      <c r="E471" t="s">
        <v>2012</v>
      </c>
      <c r="F471" t="s">
        <v>2015</v>
      </c>
      <c r="G471" t="s">
        <v>2020</v>
      </c>
      <c r="H471" t="s">
        <v>2024</v>
      </c>
      <c r="I471">
        <v>8</v>
      </c>
      <c r="J471" t="s">
        <v>2027</v>
      </c>
      <c r="K471" t="s">
        <v>2036</v>
      </c>
    </row>
    <row r="472" spans="1:11" x14ac:dyDescent="0.3">
      <c r="A472" s="6" t="s">
        <v>481</v>
      </c>
      <c r="B472" t="s">
        <v>1480</v>
      </c>
      <c r="C472" t="s">
        <v>2007</v>
      </c>
      <c r="D472">
        <v>16</v>
      </c>
      <c r="E472" t="s">
        <v>2012</v>
      </c>
      <c r="F472" t="s">
        <v>2016</v>
      </c>
      <c r="G472" t="s">
        <v>2020</v>
      </c>
      <c r="H472" t="s">
        <v>2023</v>
      </c>
      <c r="I472">
        <v>10</v>
      </c>
      <c r="J472" t="s">
        <v>2033</v>
      </c>
      <c r="K472" t="s">
        <v>2036</v>
      </c>
    </row>
    <row r="473" spans="1:11" x14ac:dyDescent="0.3">
      <c r="A473" s="6" t="s">
        <v>482</v>
      </c>
      <c r="B473" t="s">
        <v>1481</v>
      </c>
      <c r="C473" t="s">
        <v>2007</v>
      </c>
      <c r="D473">
        <v>15</v>
      </c>
      <c r="E473" t="s">
        <v>2009</v>
      </c>
      <c r="F473" t="s">
        <v>2015</v>
      </c>
      <c r="G473" t="s">
        <v>2018</v>
      </c>
      <c r="H473" t="s">
        <v>2023</v>
      </c>
      <c r="I473">
        <v>61</v>
      </c>
      <c r="J473" t="s">
        <v>2030</v>
      </c>
      <c r="K473" t="s">
        <v>2035</v>
      </c>
    </row>
    <row r="474" spans="1:11" x14ac:dyDescent="0.3">
      <c r="A474" s="6" t="s">
        <v>483</v>
      </c>
      <c r="B474" t="s">
        <v>1482</v>
      </c>
      <c r="C474" t="s">
        <v>2008</v>
      </c>
      <c r="D474">
        <v>14</v>
      </c>
      <c r="E474" t="s">
        <v>2010</v>
      </c>
      <c r="F474" t="s">
        <v>2015</v>
      </c>
      <c r="G474" t="s">
        <v>2019</v>
      </c>
      <c r="H474" t="s">
        <v>2024</v>
      </c>
      <c r="I474">
        <v>37</v>
      </c>
      <c r="J474" t="s">
        <v>2028</v>
      </c>
      <c r="K474" t="s">
        <v>2036</v>
      </c>
    </row>
    <row r="475" spans="1:11" x14ac:dyDescent="0.3">
      <c r="A475" s="6" t="s">
        <v>484</v>
      </c>
      <c r="B475" t="s">
        <v>1483</v>
      </c>
      <c r="C475" t="s">
        <v>2008</v>
      </c>
      <c r="D475">
        <v>18</v>
      </c>
      <c r="E475" t="s">
        <v>2012</v>
      </c>
      <c r="F475" t="s">
        <v>2016</v>
      </c>
      <c r="G475" t="s">
        <v>2018</v>
      </c>
      <c r="H475" t="s">
        <v>2023</v>
      </c>
      <c r="I475">
        <v>69</v>
      </c>
      <c r="J475" t="s">
        <v>2031</v>
      </c>
      <c r="K475" t="s">
        <v>2035</v>
      </c>
    </row>
    <row r="476" spans="1:11" x14ac:dyDescent="0.3">
      <c r="A476" s="6" t="s">
        <v>485</v>
      </c>
      <c r="B476" t="s">
        <v>1484</v>
      </c>
      <c r="C476" t="s">
        <v>2008</v>
      </c>
      <c r="D476">
        <v>17</v>
      </c>
      <c r="E476" t="s">
        <v>2011</v>
      </c>
      <c r="F476" t="s">
        <v>2016</v>
      </c>
      <c r="G476" t="s">
        <v>2020</v>
      </c>
      <c r="H476" t="s">
        <v>2024</v>
      </c>
      <c r="I476">
        <v>18</v>
      </c>
      <c r="J476" t="s">
        <v>2026</v>
      </c>
      <c r="K476" t="s">
        <v>2036</v>
      </c>
    </row>
    <row r="477" spans="1:11" x14ac:dyDescent="0.3">
      <c r="A477" s="6" t="s">
        <v>486</v>
      </c>
      <c r="B477" t="s">
        <v>1485</v>
      </c>
      <c r="C477" t="s">
        <v>2008</v>
      </c>
      <c r="D477">
        <v>18</v>
      </c>
      <c r="E477" t="s">
        <v>2011</v>
      </c>
      <c r="F477" t="s">
        <v>2016</v>
      </c>
      <c r="G477" t="s">
        <v>2020</v>
      </c>
      <c r="H477" t="s">
        <v>2024</v>
      </c>
      <c r="I477">
        <v>100</v>
      </c>
      <c r="J477" t="s">
        <v>2026</v>
      </c>
      <c r="K477" t="s">
        <v>2035</v>
      </c>
    </row>
    <row r="478" spans="1:11" x14ac:dyDescent="0.3">
      <c r="A478" s="6" t="s">
        <v>487</v>
      </c>
      <c r="B478" t="s">
        <v>1486</v>
      </c>
      <c r="C478" t="s">
        <v>2007</v>
      </c>
      <c r="D478">
        <v>14</v>
      </c>
      <c r="E478" t="s">
        <v>2009</v>
      </c>
      <c r="F478" t="s">
        <v>2017</v>
      </c>
      <c r="G478" t="s">
        <v>2022</v>
      </c>
      <c r="H478" t="s">
        <v>2023</v>
      </c>
      <c r="I478">
        <v>46</v>
      </c>
      <c r="J478" t="s">
        <v>2029</v>
      </c>
      <c r="K478" t="s">
        <v>2036</v>
      </c>
    </row>
    <row r="479" spans="1:11" x14ac:dyDescent="0.3">
      <c r="A479" s="6" t="s">
        <v>488</v>
      </c>
      <c r="B479" t="s">
        <v>1487</v>
      </c>
      <c r="C479" t="s">
        <v>2008</v>
      </c>
      <c r="D479">
        <v>14</v>
      </c>
      <c r="E479" t="s">
        <v>2010</v>
      </c>
      <c r="F479" t="s">
        <v>2015</v>
      </c>
      <c r="G479" t="s">
        <v>2020</v>
      </c>
      <c r="H479" t="s">
        <v>2024</v>
      </c>
      <c r="I479">
        <v>96</v>
      </c>
      <c r="J479" t="s">
        <v>2026</v>
      </c>
      <c r="K479" t="s">
        <v>2035</v>
      </c>
    </row>
    <row r="480" spans="1:11" x14ac:dyDescent="0.3">
      <c r="A480" s="6" t="s">
        <v>489</v>
      </c>
      <c r="B480" t="s">
        <v>1488</v>
      </c>
      <c r="C480" t="s">
        <v>2007</v>
      </c>
      <c r="D480">
        <v>14</v>
      </c>
      <c r="E480" t="s">
        <v>2013</v>
      </c>
      <c r="F480" t="s">
        <v>2014</v>
      </c>
      <c r="G480" t="s">
        <v>2020</v>
      </c>
      <c r="H480" t="s">
        <v>2023</v>
      </c>
      <c r="I480">
        <v>16</v>
      </c>
      <c r="J480" t="s">
        <v>2026</v>
      </c>
      <c r="K480" t="s">
        <v>2036</v>
      </c>
    </row>
    <row r="481" spans="1:11" x14ac:dyDescent="0.3">
      <c r="A481" s="6" t="s">
        <v>490</v>
      </c>
      <c r="B481" t="s">
        <v>1489</v>
      </c>
      <c r="C481" t="s">
        <v>2008</v>
      </c>
      <c r="D481">
        <v>17</v>
      </c>
      <c r="E481" t="s">
        <v>2013</v>
      </c>
      <c r="F481" t="s">
        <v>2017</v>
      </c>
      <c r="G481" t="s">
        <v>2021</v>
      </c>
      <c r="H481" t="s">
        <v>2023</v>
      </c>
      <c r="I481">
        <v>57</v>
      </c>
      <c r="J481" t="s">
        <v>2033</v>
      </c>
      <c r="K481" t="s">
        <v>2035</v>
      </c>
    </row>
    <row r="482" spans="1:11" x14ac:dyDescent="0.3">
      <c r="A482" s="6" t="s">
        <v>491</v>
      </c>
      <c r="B482" t="s">
        <v>1490</v>
      </c>
      <c r="C482" t="s">
        <v>2007</v>
      </c>
      <c r="D482">
        <v>14</v>
      </c>
      <c r="E482" t="s">
        <v>2010</v>
      </c>
      <c r="F482" t="s">
        <v>2016</v>
      </c>
      <c r="G482" t="s">
        <v>2022</v>
      </c>
      <c r="H482" t="s">
        <v>2023</v>
      </c>
      <c r="I482">
        <v>21</v>
      </c>
      <c r="J482" t="s">
        <v>2032</v>
      </c>
      <c r="K482" t="s">
        <v>2036</v>
      </c>
    </row>
    <row r="483" spans="1:11" x14ac:dyDescent="0.3">
      <c r="A483" s="6" t="s">
        <v>492</v>
      </c>
      <c r="B483" t="s">
        <v>1491</v>
      </c>
      <c r="C483" t="s">
        <v>2007</v>
      </c>
      <c r="D483">
        <v>14</v>
      </c>
      <c r="E483" t="s">
        <v>2012</v>
      </c>
      <c r="F483" t="s">
        <v>2016</v>
      </c>
      <c r="G483" t="s">
        <v>2018</v>
      </c>
      <c r="H483" t="s">
        <v>2023</v>
      </c>
      <c r="I483">
        <v>86</v>
      </c>
      <c r="J483" t="s">
        <v>2034</v>
      </c>
      <c r="K483" t="s">
        <v>2035</v>
      </c>
    </row>
    <row r="484" spans="1:11" x14ac:dyDescent="0.3">
      <c r="A484" s="6" t="s">
        <v>493</v>
      </c>
      <c r="B484" t="s">
        <v>1492</v>
      </c>
      <c r="C484" t="s">
        <v>2007</v>
      </c>
      <c r="D484">
        <v>16</v>
      </c>
      <c r="E484" t="s">
        <v>2012</v>
      </c>
      <c r="F484" t="s">
        <v>2015</v>
      </c>
      <c r="G484" t="s">
        <v>2020</v>
      </c>
      <c r="H484" t="s">
        <v>2024</v>
      </c>
      <c r="I484">
        <v>72</v>
      </c>
      <c r="J484" t="s">
        <v>2026</v>
      </c>
      <c r="K484" t="s">
        <v>2035</v>
      </c>
    </row>
    <row r="485" spans="1:11" x14ac:dyDescent="0.3">
      <c r="A485" s="6" t="s">
        <v>494</v>
      </c>
      <c r="B485" t="s">
        <v>1493</v>
      </c>
      <c r="C485" t="s">
        <v>2007</v>
      </c>
      <c r="D485">
        <v>15</v>
      </c>
      <c r="E485" t="s">
        <v>2009</v>
      </c>
      <c r="F485" t="s">
        <v>2016</v>
      </c>
      <c r="G485" t="s">
        <v>2020</v>
      </c>
      <c r="H485" t="s">
        <v>2024</v>
      </c>
      <c r="I485">
        <v>20</v>
      </c>
      <c r="J485" t="s">
        <v>2025</v>
      </c>
      <c r="K485" t="s">
        <v>2036</v>
      </c>
    </row>
    <row r="486" spans="1:11" x14ac:dyDescent="0.3">
      <c r="A486" s="6" t="s">
        <v>495</v>
      </c>
      <c r="B486" t="s">
        <v>1494</v>
      </c>
      <c r="C486" t="s">
        <v>2007</v>
      </c>
      <c r="D486">
        <v>15</v>
      </c>
      <c r="E486" t="s">
        <v>2009</v>
      </c>
      <c r="F486" t="s">
        <v>2014</v>
      </c>
      <c r="G486" t="s">
        <v>2020</v>
      </c>
      <c r="H486" t="s">
        <v>2024</v>
      </c>
      <c r="I486">
        <v>37</v>
      </c>
      <c r="J486" t="s">
        <v>2032</v>
      </c>
      <c r="K486" t="s">
        <v>2036</v>
      </c>
    </row>
    <row r="487" spans="1:11" x14ac:dyDescent="0.3">
      <c r="A487" s="6" t="s">
        <v>496</v>
      </c>
      <c r="B487" t="s">
        <v>1495</v>
      </c>
      <c r="C487" t="s">
        <v>2008</v>
      </c>
      <c r="D487">
        <v>16</v>
      </c>
      <c r="E487" t="s">
        <v>2009</v>
      </c>
      <c r="F487" t="s">
        <v>2017</v>
      </c>
      <c r="G487" t="s">
        <v>2021</v>
      </c>
      <c r="H487" t="s">
        <v>2024</v>
      </c>
      <c r="I487">
        <v>31</v>
      </c>
      <c r="J487" t="s">
        <v>2026</v>
      </c>
      <c r="K487" t="s">
        <v>2036</v>
      </c>
    </row>
    <row r="488" spans="1:11" x14ac:dyDescent="0.3">
      <c r="A488" s="6" t="s">
        <v>497</v>
      </c>
      <c r="B488" t="s">
        <v>1496</v>
      </c>
      <c r="C488" t="s">
        <v>2007</v>
      </c>
      <c r="D488">
        <v>14</v>
      </c>
      <c r="E488" t="s">
        <v>2013</v>
      </c>
      <c r="F488" t="s">
        <v>2014</v>
      </c>
      <c r="G488" t="s">
        <v>2021</v>
      </c>
      <c r="H488" t="s">
        <v>2023</v>
      </c>
      <c r="I488">
        <v>36</v>
      </c>
      <c r="J488" t="s">
        <v>2030</v>
      </c>
      <c r="K488" t="s">
        <v>2036</v>
      </c>
    </row>
    <row r="489" spans="1:11" x14ac:dyDescent="0.3">
      <c r="A489" s="6" t="s">
        <v>498</v>
      </c>
      <c r="B489" t="s">
        <v>1497</v>
      </c>
      <c r="C489" t="s">
        <v>2007</v>
      </c>
      <c r="D489">
        <v>17</v>
      </c>
      <c r="E489" t="s">
        <v>2013</v>
      </c>
      <c r="F489" t="s">
        <v>2015</v>
      </c>
      <c r="G489" t="s">
        <v>2021</v>
      </c>
      <c r="H489" t="s">
        <v>2024</v>
      </c>
      <c r="I489">
        <v>26</v>
      </c>
      <c r="J489" t="s">
        <v>2032</v>
      </c>
      <c r="K489" t="s">
        <v>2036</v>
      </c>
    </row>
    <row r="490" spans="1:11" x14ac:dyDescent="0.3">
      <c r="A490" s="6" t="s">
        <v>499</v>
      </c>
      <c r="B490" t="s">
        <v>1498</v>
      </c>
      <c r="C490" t="s">
        <v>2007</v>
      </c>
      <c r="D490">
        <v>16</v>
      </c>
      <c r="E490" t="s">
        <v>2012</v>
      </c>
      <c r="F490" t="s">
        <v>2016</v>
      </c>
      <c r="G490" t="s">
        <v>2018</v>
      </c>
      <c r="H490" t="s">
        <v>2023</v>
      </c>
      <c r="I490">
        <v>2</v>
      </c>
      <c r="J490" t="s">
        <v>2034</v>
      </c>
      <c r="K490" t="s">
        <v>2036</v>
      </c>
    </row>
    <row r="491" spans="1:11" x14ac:dyDescent="0.3">
      <c r="A491" s="6" t="s">
        <v>500</v>
      </c>
      <c r="B491" t="s">
        <v>1499</v>
      </c>
      <c r="C491" t="s">
        <v>2007</v>
      </c>
      <c r="D491">
        <v>17</v>
      </c>
      <c r="E491" t="s">
        <v>2012</v>
      </c>
      <c r="F491" t="s">
        <v>2016</v>
      </c>
      <c r="G491" t="s">
        <v>2021</v>
      </c>
      <c r="H491" t="s">
        <v>2024</v>
      </c>
      <c r="I491">
        <v>15</v>
      </c>
      <c r="J491" t="s">
        <v>2034</v>
      </c>
      <c r="K491" t="s">
        <v>2036</v>
      </c>
    </row>
    <row r="492" spans="1:11" x14ac:dyDescent="0.3">
      <c r="A492" s="6" t="s">
        <v>501</v>
      </c>
      <c r="B492" t="s">
        <v>1500</v>
      </c>
      <c r="C492" t="s">
        <v>2007</v>
      </c>
      <c r="D492">
        <v>16</v>
      </c>
      <c r="E492" t="s">
        <v>2010</v>
      </c>
      <c r="F492" t="s">
        <v>2015</v>
      </c>
      <c r="G492" t="s">
        <v>2021</v>
      </c>
      <c r="H492" t="s">
        <v>2024</v>
      </c>
      <c r="I492">
        <v>44</v>
      </c>
      <c r="J492" t="s">
        <v>2031</v>
      </c>
      <c r="K492" t="s">
        <v>2036</v>
      </c>
    </row>
    <row r="493" spans="1:11" x14ac:dyDescent="0.3">
      <c r="A493" s="6" t="s">
        <v>502</v>
      </c>
      <c r="B493" t="s">
        <v>1501</v>
      </c>
      <c r="C493" t="s">
        <v>2007</v>
      </c>
      <c r="D493">
        <v>15</v>
      </c>
      <c r="E493" t="s">
        <v>2013</v>
      </c>
      <c r="F493" t="s">
        <v>2015</v>
      </c>
      <c r="G493" t="s">
        <v>2019</v>
      </c>
      <c r="H493" t="s">
        <v>2024</v>
      </c>
      <c r="I493">
        <v>23</v>
      </c>
      <c r="J493" t="s">
        <v>2028</v>
      </c>
      <c r="K493" t="s">
        <v>2036</v>
      </c>
    </row>
    <row r="494" spans="1:11" x14ac:dyDescent="0.3">
      <c r="A494" s="6" t="s">
        <v>503</v>
      </c>
      <c r="B494" t="s">
        <v>1502</v>
      </c>
      <c r="C494" t="s">
        <v>2008</v>
      </c>
      <c r="D494">
        <v>16</v>
      </c>
      <c r="E494" t="s">
        <v>2009</v>
      </c>
      <c r="F494" t="s">
        <v>2015</v>
      </c>
      <c r="G494" t="s">
        <v>2019</v>
      </c>
      <c r="H494" t="s">
        <v>2023</v>
      </c>
      <c r="I494">
        <v>22</v>
      </c>
      <c r="J494" t="s">
        <v>2029</v>
      </c>
      <c r="K494" t="s">
        <v>2036</v>
      </c>
    </row>
    <row r="495" spans="1:11" x14ac:dyDescent="0.3">
      <c r="A495" s="6" t="s">
        <v>504</v>
      </c>
      <c r="B495" t="s">
        <v>1503</v>
      </c>
      <c r="C495" t="s">
        <v>2007</v>
      </c>
      <c r="D495">
        <v>17</v>
      </c>
      <c r="E495" t="s">
        <v>2012</v>
      </c>
      <c r="F495" t="s">
        <v>2014</v>
      </c>
      <c r="G495" t="s">
        <v>2018</v>
      </c>
      <c r="H495" t="s">
        <v>2023</v>
      </c>
      <c r="I495">
        <v>16</v>
      </c>
      <c r="J495" t="s">
        <v>2026</v>
      </c>
      <c r="K495" t="s">
        <v>2036</v>
      </c>
    </row>
    <row r="496" spans="1:11" x14ac:dyDescent="0.3">
      <c r="A496" s="6" t="s">
        <v>505</v>
      </c>
      <c r="B496" t="s">
        <v>1504</v>
      </c>
      <c r="C496" t="s">
        <v>2007</v>
      </c>
      <c r="D496">
        <v>18</v>
      </c>
      <c r="E496" t="s">
        <v>2013</v>
      </c>
      <c r="F496" t="s">
        <v>2015</v>
      </c>
      <c r="G496" t="s">
        <v>2022</v>
      </c>
      <c r="H496" t="s">
        <v>2024</v>
      </c>
      <c r="I496">
        <v>68</v>
      </c>
      <c r="J496" t="s">
        <v>2031</v>
      </c>
      <c r="K496" t="s">
        <v>2035</v>
      </c>
    </row>
    <row r="497" spans="1:11" x14ac:dyDescent="0.3">
      <c r="A497" s="6" t="s">
        <v>506</v>
      </c>
      <c r="B497" t="s">
        <v>1505</v>
      </c>
      <c r="C497" t="s">
        <v>2007</v>
      </c>
      <c r="D497">
        <v>15</v>
      </c>
      <c r="E497" t="s">
        <v>2011</v>
      </c>
      <c r="F497" t="s">
        <v>2017</v>
      </c>
      <c r="G497" t="s">
        <v>2019</v>
      </c>
      <c r="H497" t="s">
        <v>2023</v>
      </c>
      <c r="I497">
        <v>80</v>
      </c>
      <c r="J497" t="s">
        <v>2034</v>
      </c>
      <c r="K497" t="s">
        <v>2035</v>
      </c>
    </row>
    <row r="498" spans="1:11" x14ac:dyDescent="0.3">
      <c r="A498" s="6" t="s">
        <v>507</v>
      </c>
      <c r="B498" t="s">
        <v>1506</v>
      </c>
      <c r="C498" t="s">
        <v>2007</v>
      </c>
      <c r="D498">
        <v>15</v>
      </c>
      <c r="E498" t="s">
        <v>2011</v>
      </c>
      <c r="F498" t="s">
        <v>2017</v>
      </c>
      <c r="G498" t="s">
        <v>2019</v>
      </c>
      <c r="H498" t="s">
        <v>2024</v>
      </c>
      <c r="I498">
        <v>23</v>
      </c>
      <c r="J498" t="s">
        <v>2028</v>
      </c>
      <c r="K498" t="s">
        <v>2036</v>
      </c>
    </row>
    <row r="499" spans="1:11" x14ac:dyDescent="0.3">
      <c r="A499" s="6" t="s">
        <v>508</v>
      </c>
      <c r="B499" t="s">
        <v>1507</v>
      </c>
      <c r="C499" t="s">
        <v>2008</v>
      </c>
      <c r="D499">
        <v>18</v>
      </c>
      <c r="E499" t="s">
        <v>2011</v>
      </c>
      <c r="F499" t="s">
        <v>2016</v>
      </c>
      <c r="G499" t="s">
        <v>2021</v>
      </c>
      <c r="H499" t="s">
        <v>2024</v>
      </c>
      <c r="I499">
        <v>59</v>
      </c>
      <c r="J499" t="s">
        <v>2027</v>
      </c>
      <c r="K499" t="s">
        <v>2035</v>
      </c>
    </row>
    <row r="500" spans="1:11" x14ac:dyDescent="0.3">
      <c r="A500" s="6" t="s">
        <v>509</v>
      </c>
      <c r="B500" t="s">
        <v>1508</v>
      </c>
      <c r="C500" t="s">
        <v>2008</v>
      </c>
      <c r="D500">
        <v>17</v>
      </c>
      <c r="E500" t="s">
        <v>2010</v>
      </c>
      <c r="F500" t="s">
        <v>2016</v>
      </c>
      <c r="G500" t="s">
        <v>2021</v>
      </c>
      <c r="H500" t="s">
        <v>2024</v>
      </c>
      <c r="I500">
        <v>66</v>
      </c>
      <c r="J500" t="s">
        <v>2034</v>
      </c>
      <c r="K500" t="s">
        <v>2035</v>
      </c>
    </row>
    <row r="501" spans="1:11" x14ac:dyDescent="0.3">
      <c r="A501" s="6" t="s">
        <v>510</v>
      </c>
      <c r="B501" t="s">
        <v>1509</v>
      </c>
      <c r="C501" t="s">
        <v>2007</v>
      </c>
      <c r="D501">
        <v>15</v>
      </c>
      <c r="E501" t="s">
        <v>2013</v>
      </c>
      <c r="F501" t="s">
        <v>2015</v>
      </c>
      <c r="G501" t="s">
        <v>2018</v>
      </c>
      <c r="H501" t="s">
        <v>2024</v>
      </c>
      <c r="I501">
        <v>86</v>
      </c>
      <c r="J501" t="s">
        <v>2034</v>
      </c>
      <c r="K501" t="s">
        <v>2035</v>
      </c>
    </row>
    <row r="502" spans="1:11" x14ac:dyDescent="0.3">
      <c r="A502" s="6" t="s">
        <v>511</v>
      </c>
      <c r="B502" t="s">
        <v>1510</v>
      </c>
      <c r="C502" t="s">
        <v>2008</v>
      </c>
      <c r="D502">
        <v>18</v>
      </c>
      <c r="E502" t="s">
        <v>2010</v>
      </c>
      <c r="F502" t="s">
        <v>2014</v>
      </c>
      <c r="G502" t="s">
        <v>2021</v>
      </c>
      <c r="H502" t="s">
        <v>2024</v>
      </c>
      <c r="I502">
        <v>2</v>
      </c>
      <c r="J502" t="s">
        <v>2033</v>
      </c>
      <c r="K502" t="s">
        <v>2036</v>
      </c>
    </row>
    <row r="503" spans="1:11" x14ac:dyDescent="0.3">
      <c r="A503" s="6" t="s">
        <v>512</v>
      </c>
      <c r="B503" t="s">
        <v>1511</v>
      </c>
      <c r="C503" t="s">
        <v>2007</v>
      </c>
      <c r="D503">
        <v>17</v>
      </c>
      <c r="E503" t="s">
        <v>2011</v>
      </c>
      <c r="F503" t="s">
        <v>2017</v>
      </c>
      <c r="G503" t="s">
        <v>2021</v>
      </c>
      <c r="H503" t="s">
        <v>2024</v>
      </c>
      <c r="I503">
        <v>21</v>
      </c>
      <c r="J503" t="s">
        <v>2028</v>
      </c>
      <c r="K503" t="s">
        <v>2036</v>
      </c>
    </row>
    <row r="504" spans="1:11" x14ac:dyDescent="0.3">
      <c r="A504" s="6" t="s">
        <v>513</v>
      </c>
      <c r="B504" t="s">
        <v>1512</v>
      </c>
      <c r="C504" t="s">
        <v>2007</v>
      </c>
      <c r="D504">
        <v>17</v>
      </c>
      <c r="E504" t="s">
        <v>2012</v>
      </c>
      <c r="F504" t="s">
        <v>2016</v>
      </c>
      <c r="G504" t="s">
        <v>2021</v>
      </c>
      <c r="H504" t="s">
        <v>2023</v>
      </c>
      <c r="I504">
        <v>43</v>
      </c>
      <c r="J504" t="s">
        <v>2030</v>
      </c>
      <c r="K504" t="s">
        <v>2036</v>
      </c>
    </row>
    <row r="505" spans="1:11" x14ac:dyDescent="0.3">
      <c r="A505" s="6" t="s">
        <v>514</v>
      </c>
      <c r="B505" t="s">
        <v>1513</v>
      </c>
      <c r="C505" t="s">
        <v>2007</v>
      </c>
      <c r="D505">
        <v>14</v>
      </c>
      <c r="E505" t="s">
        <v>2010</v>
      </c>
      <c r="F505" t="s">
        <v>2016</v>
      </c>
      <c r="G505" t="s">
        <v>2019</v>
      </c>
      <c r="H505" t="s">
        <v>2023</v>
      </c>
      <c r="I505">
        <v>90</v>
      </c>
      <c r="J505" t="s">
        <v>2030</v>
      </c>
      <c r="K505" t="s">
        <v>2035</v>
      </c>
    </row>
    <row r="506" spans="1:11" x14ac:dyDescent="0.3">
      <c r="A506" s="6" t="s">
        <v>515</v>
      </c>
      <c r="B506" t="s">
        <v>1514</v>
      </c>
      <c r="C506" t="s">
        <v>2008</v>
      </c>
      <c r="D506">
        <v>14</v>
      </c>
      <c r="E506" t="s">
        <v>2009</v>
      </c>
      <c r="F506" t="s">
        <v>2014</v>
      </c>
      <c r="G506" t="s">
        <v>2019</v>
      </c>
      <c r="H506" t="s">
        <v>2023</v>
      </c>
      <c r="I506">
        <v>86</v>
      </c>
      <c r="J506" t="s">
        <v>2032</v>
      </c>
      <c r="K506" t="s">
        <v>2035</v>
      </c>
    </row>
    <row r="507" spans="1:11" x14ac:dyDescent="0.3">
      <c r="A507" s="6" t="s">
        <v>516</v>
      </c>
      <c r="B507" t="s">
        <v>1515</v>
      </c>
      <c r="C507" t="s">
        <v>2008</v>
      </c>
      <c r="D507">
        <v>17</v>
      </c>
      <c r="E507" t="s">
        <v>2013</v>
      </c>
      <c r="F507" t="s">
        <v>2015</v>
      </c>
      <c r="G507" t="s">
        <v>2022</v>
      </c>
      <c r="H507" t="s">
        <v>2024</v>
      </c>
      <c r="I507">
        <v>72</v>
      </c>
      <c r="J507" t="s">
        <v>2029</v>
      </c>
      <c r="K507" t="s">
        <v>2035</v>
      </c>
    </row>
    <row r="508" spans="1:11" x14ac:dyDescent="0.3">
      <c r="A508" s="6" t="s">
        <v>517</v>
      </c>
      <c r="B508" t="s">
        <v>1516</v>
      </c>
      <c r="C508" t="s">
        <v>2008</v>
      </c>
      <c r="D508">
        <v>16</v>
      </c>
      <c r="E508" t="s">
        <v>2011</v>
      </c>
      <c r="F508" t="s">
        <v>2015</v>
      </c>
      <c r="G508" t="s">
        <v>2019</v>
      </c>
      <c r="H508" t="s">
        <v>2023</v>
      </c>
      <c r="I508">
        <v>52</v>
      </c>
      <c r="J508" t="s">
        <v>2034</v>
      </c>
      <c r="K508" t="s">
        <v>2035</v>
      </c>
    </row>
    <row r="509" spans="1:11" x14ac:dyDescent="0.3">
      <c r="A509" s="6" t="s">
        <v>518</v>
      </c>
      <c r="B509" t="s">
        <v>1517</v>
      </c>
      <c r="C509" t="s">
        <v>2008</v>
      </c>
      <c r="D509">
        <v>14</v>
      </c>
      <c r="E509" t="s">
        <v>2011</v>
      </c>
      <c r="F509" t="s">
        <v>2015</v>
      </c>
      <c r="G509" t="s">
        <v>2019</v>
      </c>
      <c r="H509" t="s">
        <v>2023</v>
      </c>
      <c r="I509">
        <v>96</v>
      </c>
      <c r="J509" t="s">
        <v>2034</v>
      </c>
      <c r="K509" t="s">
        <v>2035</v>
      </c>
    </row>
    <row r="510" spans="1:11" x14ac:dyDescent="0.3">
      <c r="A510" s="6" t="s">
        <v>519</v>
      </c>
      <c r="B510" t="s">
        <v>1518</v>
      </c>
      <c r="C510" t="s">
        <v>2008</v>
      </c>
      <c r="D510">
        <v>15</v>
      </c>
      <c r="E510" t="s">
        <v>2012</v>
      </c>
      <c r="F510" t="s">
        <v>2014</v>
      </c>
      <c r="G510" t="s">
        <v>2021</v>
      </c>
      <c r="H510" t="s">
        <v>2024</v>
      </c>
      <c r="I510">
        <v>53</v>
      </c>
      <c r="J510" t="s">
        <v>2032</v>
      </c>
      <c r="K510" t="s">
        <v>2035</v>
      </c>
    </row>
    <row r="511" spans="1:11" x14ac:dyDescent="0.3">
      <c r="A511" s="6" t="s">
        <v>520</v>
      </c>
      <c r="B511" t="s">
        <v>1519</v>
      </c>
      <c r="C511" t="s">
        <v>2008</v>
      </c>
      <c r="D511">
        <v>17</v>
      </c>
      <c r="E511" t="s">
        <v>2012</v>
      </c>
      <c r="F511" t="s">
        <v>2015</v>
      </c>
      <c r="G511" t="s">
        <v>2019</v>
      </c>
      <c r="H511" t="s">
        <v>2023</v>
      </c>
      <c r="I511">
        <v>23</v>
      </c>
      <c r="J511" t="s">
        <v>2026</v>
      </c>
      <c r="K511" t="s">
        <v>2036</v>
      </c>
    </row>
    <row r="512" spans="1:11" x14ac:dyDescent="0.3">
      <c r="A512" s="6" t="s">
        <v>521</v>
      </c>
      <c r="B512" t="s">
        <v>1520</v>
      </c>
      <c r="C512" t="s">
        <v>2008</v>
      </c>
      <c r="D512">
        <v>14</v>
      </c>
      <c r="E512" t="s">
        <v>2011</v>
      </c>
      <c r="F512" t="s">
        <v>2017</v>
      </c>
      <c r="G512" t="s">
        <v>2019</v>
      </c>
      <c r="H512" t="s">
        <v>2023</v>
      </c>
      <c r="I512">
        <v>63</v>
      </c>
      <c r="J512" t="s">
        <v>2032</v>
      </c>
      <c r="K512" t="s">
        <v>2035</v>
      </c>
    </row>
    <row r="513" spans="1:11" x14ac:dyDescent="0.3">
      <c r="A513" s="6" t="s">
        <v>522</v>
      </c>
      <c r="B513" t="s">
        <v>1521</v>
      </c>
      <c r="C513" t="s">
        <v>2007</v>
      </c>
      <c r="D513">
        <v>16</v>
      </c>
      <c r="E513" t="s">
        <v>2009</v>
      </c>
      <c r="F513" t="s">
        <v>2014</v>
      </c>
      <c r="G513" t="s">
        <v>2019</v>
      </c>
      <c r="H513" t="s">
        <v>2024</v>
      </c>
      <c r="I513">
        <v>60</v>
      </c>
      <c r="J513" t="s">
        <v>2027</v>
      </c>
      <c r="K513" t="s">
        <v>2035</v>
      </c>
    </row>
    <row r="514" spans="1:11" x14ac:dyDescent="0.3">
      <c r="A514" s="6" t="s">
        <v>523</v>
      </c>
      <c r="B514" t="s">
        <v>1522</v>
      </c>
      <c r="C514" t="s">
        <v>2008</v>
      </c>
      <c r="D514">
        <v>15</v>
      </c>
      <c r="E514" t="s">
        <v>2012</v>
      </c>
      <c r="F514" t="s">
        <v>2017</v>
      </c>
      <c r="G514" t="s">
        <v>2022</v>
      </c>
      <c r="H514" t="s">
        <v>2024</v>
      </c>
      <c r="I514">
        <v>93</v>
      </c>
      <c r="J514" t="s">
        <v>2032</v>
      </c>
      <c r="K514" t="s">
        <v>2035</v>
      </c>
    </row>
    <row r="515" spans="1:11" x14ac:dyDescent="0.3">
      <c r="A515" s="6" t="s">
        <v>524</v>
      </c>
      <c r="B515" t="s">
        <v>1523</v>
      </c>
      <c r="C515" t="s">
        <v>2008</v>
      </c>
      <c r="D515">
        <v>14</v>
      </c>
      <c r="E515" t="s">
        <v>2009</v>
      </c>
      <c r="F515" t="s">
        <v>2015</v>
      </c>
      <c r="G515" t="s">
        <v>2020</v>
      </c>
      <c r="H515" t="s">
        <v>2023</v>
      </c>
      <c r="I515">
        <v>85</v>
      </c>
      <c r="J515" t="s">
        <v>2034</v>
      </c>
      <c r="K515" t="s">
        <v>2035</v>
      </c>
    </row>
    <row r="516" spans="1:11" x14ac:dyDescent="0.3">
      <c r="A516" s="6" t="s">
        <v>525</v>
      </c>
      <c r="B516" t="s">
        <v>1524</v>
      </c>
      <c r="C516" t="s">
        <v>2008</v>
      </c>
      <c r="D516">
        <v>17</v>
      </c>
      <c r="E516" t="s">
        <v>2010</v>
      </c>
      <c r="F516" t="s">
        <v>2016</v>
      </c>
      <c r="G516" t="s">
        <v>2022</v>
      </c>
      <c r="H516" t="s">
        <v>2023</v>
      </c>
      <c r="I516">
        <v>23</v>
      </c>
      <c r="J516" t="s">
        <v>2033</v>
      </c>
      <c r="K516" t="s">
        <v>2036</v>
      </c>
    </row>
    <row r="517" spans="1:11" x14ac:dyDescent="0.3">
      <c r="A517" s="6" t="s">
        <v>526</v>
      </c>
      <c r="B517" t="s">
        <v>1525</v>
      </c>
      <c r="C517" t="s">
        <v>2007</v>
      </c>
      <c r="D517">
        <v>15</v>
      </c>
      <c r="E517" t="s">
        <v>2009</v>
      </c>
      <c r="F517" t="s">
        <v>2014</v>
      </c>
      <c r="G517" t="s">
        <v>2022</v>
      </c>
      <c r="H517" t="s">
        <v>2024</v>
      </c>
      <c r="I517">
        <v>5</v>
      </c>
      <c r="J517" t="s">
        <v>2028</v>
      </c>
      <c r="K517" t="s">
        <v>2036</v>
      </c>
    </row>
    <row r="518" spans="1:11" x14ac:dyDescent="0.3">
      <c r="A518" s="6" t="s">
        <v>527</v>
      </c>
      <c r="B518" t="s">
        <v>1526</v>
      </c>
      <c r="C518" t="s">
        <v>2007</v>
      </c>
      <c r="D518">
        <v>14</v>
      </c>
      <c r="E518" t="s">
        <v>2012</v>
      </c>
      <c r="F518" t="s">
        <v>2015</v>
      </c>
      <c r="G518" t="s">
        <v>2022</v>
      </c>
      <c r="H518" t="s">
        <v>2023</v>
      </c>
      <c r="I518">
        <v>100</v>
      </c>
      <c r="J518" t="s">
        <v>2032</v>
      </c>
      <c r="K518" t="s">
        <v>2035</v>
      </c>
    </row>
    <row r="519" spans="1:11" x14ac:dyDescent="0.3">
      <c r="A519" s="6" t="s">
        <v>528</v>
      </c>
      <c r="B519" t="s">
        <v>1527</v>
      </c>
      <c r="C519" t="s">
        <v>2007</v>
      </c>
      <c r="D519">
        <v>14</v>
      </c>
      <c r="E519" t="s">
        <v>2012</v>
      </c>
      <c r="F519" t="s">
        <v>2017</v>
      </c>
      <c r="G519" t="s">
        <v>2021</v>
      </c>
      <c r="H519" t="s">
        <v>2024</v>
      </c>
      <c r="I519">
        <v>91</v>
      </c>
      <c r="J519" t="s">
        <v>2025</v>
      </c>
      <c r="K519" t="s">
        <v>2035</v>
      </c>
    </row>
    <row r="520" spans="1:11" x14ac:dyDescent="0.3">
      <c r="A520" s="6" t="s">
        <v>529</v>
      </c>
      <c r="B520" t="s">
        <v>1528</v>
      </c>
      <c r="C520" t="s">
        <v>2007</v>
      </c>
      <c r="D520">
        <v>17</v>
      </c>
      <c r="E520" t="s">
        <v>2011</v>
      </c>
      <c r="F520" t="s">
        <v>2017</v>
      </c>
      <c r="G520" t="s">
        <v>2022</v>
      </c>
      <c r="H520" t="s">
        <v>2024</v>
      </c>
      <c r="I520">
        <v>50</v>
      </c>
      <c r="J520" t="s">
        <v>2028</v>
      </c>
      <c r="K520" t="s">
        <v>2035</v>
      </c>
    </row>
    <row r="521" spans="1:11" x14ac:dyDescent="0.3">
      <c r="A521" s="6" t="s">
        <v>530</v>
      </c>
      <c r="B521" t="s">
        <v>1529</v>
      </c>
      <c r="C521" t="s">
        <v>2007</v>
      </c>
      <c r="D521">
        <v>15</v>
      </c>
      <c r="E521" t="s">
        <v>2010</v>
      </c>
      <c r="F521" t="s">
        <v>2017</v>
      </c>
      <c r="G521" t="s">
        <v>2018</v>
      </c>
      <c r="H521" t="s">
        <v>2023</v>
      </c>
      <c r="I521">
        <v>73</v>
      </c>
      <c r="J521" t="s">
        <v>2025</v>
      </c>
      <c r="K521" t="s">
        <v>2035</v>
      </c>
    </row>
    <row r="522" spans="1:11" x14ac:dyDescent="0.3">
      <c r="A522" s="6" t="s">
        <v>531</v>
      </c>
      <c r="B522" t="s">
        <v>1530</v>
      </c>
      <c r="C522" t="s">
        <v>2008</v>
      </c>
      <c r="D522">
        <v>14</v>
      </c>
      <c r="E522" t="s">
        <v>2010</v>
      </c>
      <c r="F522" t="s">
        <v>2014</v>
      </c>
      <c r="G522" t="s">
        <v>2021</v>
      </c>
      <c r="H522" t="s">
        <v>2024</v>
      </c>
      <c r="I522">
        <v>30</v>
      </c>
      <c r="J522" t="s">
        <v>2027</v>
      </c>
      <c r="K522" t="s">
        <v>2036</v>
      </c>
    </row>
    <row r="523" spans="1:11" x14ac:dyDescent="0.3">
      <c r="A523" s="6" t="s">
        <v>532</v>
      </c>
      <c r="B523" t="s">
        <v>1531</v>
      </c>
      <c r="C523" t="s">
        <v>2007</v>
      </c>
      <c r="D523">
        <v>15</v>
      </c>
      <c r="E523" t="s">
        <v>2011</v>
      </c>
      <c r="F523" t="s">
        <v>2014</v>
      </c>
      <c r="G523" t="s">
        <v>2021</v>
      </c>
      <c r="H523" t="s">
        <v>2023</v>
      </c>
      <c r="I523">
        <v>57</v>
      </c>
      <c r="J523" t="s">
        <v>2033</v>
      </c>
      <c r="K523" t="s">
        <v>2035</v>
      </c>
    </row>
    <row r="524" spans="1:11" x14ac:dyDescent="0.3">
      <c r="A524" s="6" t="s">
        <v>533</v>
      </c>
      <c r="B524" t="s">
        <v>1532</v>
      </c>
      <c r="C524" t="s">
        <v>2008</v>
      </c>
      <c r="D524">
        <v>14</v>
      </c>
      <c r="E524" t="s">
        <v>2011</v>
      </c>
      <c r="F524" t="s">
        <v>2017</v>
      </c>
      <c r="G524" t="s">
        <v>2019</v>
      </c>
      <c r="H524" t="s">
        <v>2023</v>
      </c>
      <c r="I524">
        <v>8</v>
      </c>
      <c r="J524" t="s">
        <v>2032</v>
      </c>
      <c r="K524" t="s">
        <v>2036</v>
      </c>
    </row>
    <row r="525" spans="1:11" x14ac:dyDescent="0.3">
      <c r="A525" s="6" t="s">
        <v>534</v>
      </c>
      <c r="B525" t="s">
        <v>1533</v>
      </c>
      <c r="C525" t="s">
        <v>2007</v>
      </c>
      <c r="D525">
        <v>14</v>
      </c>
      <c r="E525" t="s">
        <v>2009</v>
      </c>
      <c r="F525" t="s">
        <v>2015</v>
      </c>
      <c r="G525" t="s">
        <v>2018</v>
      </c>
      <c r="H525" t="s">
        <v>2024</v>
      </c>
      <c r="I525">
        <v>94</v>
      </c>
      <c r="J525" t="s">
        <v>2029</v>
      </c>
      <c r="K525" t="s">
        <v>2035</v>
      </c>
    </row>
    <row r="526" spans="1:11" x14ac:dyDescent="0.3">
      <c r="A526" s="6" t="s">
        <v>535</v>
      </c>
      <c r="B526" t="s">
        <v>1534</v>
      </c>
      <c r="C526" t="s">
        <v>2008</v>
      </c>
      <c r="D526">
        <v>18</v>
      </c>
      <c r="E526" t="s">
        <v>2013</v>
      </c>
      <c r="F526" t="s">
        <v>2015</v>
      </c>
      <c r="G526" t="s">
        <v>2022</v>
      </c>
      <c r="H526" t="s">
        <v>2023</v>
      </c>
      <c r="I526">
        <v>29</v>
      </c>
      <c r="J526" t="s">
        <v>2031</v>
      </c>
      <c r="K526" t="s">
        <v>2036</v>
      </c>
    </row>
    <row r="527" spans="1:11" x14ac:dyDescent="0.3">
      <c r="A527" s="6" t="s">
        <v>536</v>
      </c>
      <c r="B527" t="s">
        <v>1535</v>
      </c>
      <c r="C527" t="s">
        <v>2008</v>
      </c>
      <c r="D527">
        <v>16</v>
      </c>
      <c r="E527" t="s">
        <v>2009</v>
      </c>
      <c r="F527" t="s">
        <v>2014</v>
      </c>
      <c r="G527" t="s">
        <v>2018</v>
      </c>
      <c r="H527" t="s">
        <v>2024</v>
      </c>
      <c r="I527">
        <v>42</v>
      </c>
      <c r="J527" t="s">
        <v>2025</v>
      </c>
      <c r="K527" t="s">
        <v>2036</v>
      </c>
    </row>
    <row r="528" spans="1:11" x14ac:dyDescent="0.3">
      <c r="A528" s="6" t="s">
        <v>537</v>
      </c>
      <c r="B528" t="s">
        <v>1536</v>
      </c>
      <c r="C528" t="s">
        <v>2008</v>
      </c>
      <c r="D528">
        <v>15</v>
      </c>
      <c r="E528" t="s">
        <v>2013</v>
      </c>
      <c r="F528" t="s">
        <v>2016</v>
      </c>
      <c r="G528" t="s">
        <v>2021</v>
      </c>
      <c r="H528" t="s">
        <v>2024</v>
      </c>
      <c r="I528">
        <v>17</v>
      </c>
      <c r="J528" t="s">
        <v>2033</v>
      </c>
      <c r="K528" t="s">
        <v>2036</v>
      </c>
    </row>
    <row r="529" spans="1:11" x14ac:dyDescent="0.3">
      <c r="A529" s="6" t="s">
        <v>538</v>
      </c>
      <c r="B529" t="s">
        <v>1537</v>
      </c>
      <c r="C529" t="s">
        <v>2007</v>
      </c>
      <c r="D529">
        <v>17</v>
      </c>
      <c r="E529" t="s">
        <v>2010</v>
      </c>
      <c r="F529" t="s">
        <v>2017</v>
      </c>
      <c r="G529" t="s">
        <v>2022</v>
      </c>
      <c r="H529" t="s">
        <v>2023</v>
      </c>
      <c r="I529">
        <v>59</v>
      </c>
      <c r="J529" t="s">
        <v>2025</v>
      </c>
      <c r="K529" t="s">
        <v>2035</v>
      </c>
    </row>
    <row r="530" spans="1:11" x14ac:dyDescent="0.3">
      <c r="A530" s="6" t="s">
        <v>539</v>
      </c>
      <c r="B530" t="s">
        <v>1538</v>
      </c>
      <c r="C530" t="s">
        <v>2008</v>
      </c>
      <c r="D530">
        <v>16</v>
      </c>
      <c r="E530" t="s">
        <v>2013</v>
      </c>
      <c r="F530" t="s">
        <v>2015</v>
      </c>
      <c r="G530" t="s">
        <v>2020</v>
      </c>
      <c r="H530" t="s">
        <v>2024</v>
      </c>
      <c r="I530">
        <v>28</v>
      </c>
      <c r="J530" t="s">
        <v>2028</v>
      </c>
      <c r="K530" t="s">
        <v>2036</v>
      </c>
    </row>
    <row r="531" spans="1:11" x14ac:dyDescent="0.3">
      <c r="A531" s="6" t="s">
        <v>540</v>
      </c>
      <c r="B531" t="s">
        <v>1539</v>
      </c>
      <c r="C531" t="s">
        <v>2007</v>
      </c>
      <c r="D531">
        <v>18</v>
      </c>
      <c r="E531" t="s">
        <v>2010</v>
      </c>
      <c r="F531" t="s">
        <v>2015</v>
      </c>
      <c r="G531" t="s">
        <v>2020</v>
      </c>
      <c r="H531" t="s">
        <v>2023</v>
      </c>
      <c r="I531">
        <v>32</v>
      </c>
      <c r="J531" t="s">
        <v>2028</v>
      </c>
      <c r="K531" t="s">
        <v>2036</v>
      </c>
    </row>
    <row r="532" spans="1:11" x14ac:dyDescent="0.3">
      <c r="A532" s="6" t="s">
        <v>541</v>
      </c>
      <c r="B532" t="s">
        <v>1540</v>
      </c>
      <c r="C532" t="s">
        <v>2007</v>
      </c>
      <c r="D532">
        <v>15</v>
      </c>
      <c r="E532" t="s">
        <v>2012</v>
      </c>
      <c r="F532" t="s">
        <v>2016</v>
      </c>
      <c r="G532" t="s">
        <v>2018</v>
      </c>
      <c r="H532" t="s">
        <v>2024</v>
      </c>
      <c r="I532">
        <v>98</v>
      </c>
      <c r="J532" t="s">
        <v>2027</v>
      </c>
      <c r="K532" t="s">
        <v>2035</v>
      </c>
    </row>
    <row r="533" spans="1:11" x14ac:dyDescent="0.3">
      <c r="A533" s="6" t="s">
        <v>542</v>
      </c>
      <c r="B533" t="s">
        <v>1541</v>
      </c>
      <c r="C533" t="s">
        <v>2007</v>
      </c>
      <c r="D533">
        <v>18</v>
      </c>
      <c r="E533" t="s">
        <v>2012</v>
      </c>
      <c r="F533" t="s">
        <v>2016</v>
      </c>
      <c r="G533" t="s">
        <v>2020</v>
      </c>
      <c r="H533" t="s">
        <v>2024</v>
      </c>
      <c r="I533">
        <v>50</v>
      </c>
      <c r="J533" t="s">
        <v>2030</v>
      </c>
      <c r="K533" t="s">
        <v>2035</v>
      </c>
    </row>
    <row r="534" spans="1:11" x14ac:dyDescent="0.3">
      <c r="A534" s="6" t="s">
        <v>543</v>
      </c>
      <c r="B534" t="s">
        <v>1542</v>
      </c>
      <c r="C534" t="s">
        <v>2007</v>
      </c>
      <c r="D534">
        <v>14</v>
      </c>
      <c r="E534" t="s">
        <v>2011</v>
      </c>
      <c r="F534" t="s">
        <v>2017</v>
      </c>
      <c r="G534" t="s">
        <v>2021</v>
      </c>
      <c r="H534" t="s">
        <v>2024</v>
      </c>
      <c r="I534">
        <v>97</v>
      </c>
      <c r="J534" t="s">
        <v>2031</v>
      </c>
      <c r="K534" t="s">
        <v>2035</v>
      </c>
    </row>
    <row r="535" spans="1:11" x14ac:dyDescent="0.3">
      <c r="A535" s="6" t="s">
        <v>544</v>
      </c>
      <c r="B535" t="s">
        <v>1543</v>
      </c>
      <c r="C535" t="s">
        <v>2007</v>
      </c>
      <c r="D535">
        <v>17</v>
      </c>
      <c r="E535" t="s">
        <v>2011</v>
      </c>
      <c r="F535" t="s">
        <v>2014</v>
      </c>
      <c r="G535" t="s">
        <v>2021</v>
      </c>
      <c r="H535" t="s">
        <v>2023</v>
      </c>
      <c r="I535">
        <v>56</v>
      </c>
      <c r="J535" t="s">
        <v>2028</v>
      </c>
      <c r="K535" t="s">
        <v>2035</v>
      </c>
    </row>
    <row r="536" spans="1:11" x14ac:dyDescent="0.3">
      <c r="A536" s="6" t="s">
        <v>545</v>
      </c>
      <c r="B536" t="s">
        <v>1544</v>
      </c>
      <c r="C536" t="s">
        <v>2007</v>
      </c>
      <c r="D536">
        <v>15</v>
      </c>
      <c r="E536" t="s">
        <v>2010</v>
      </c>
      <c r="F536" t="s">
        <v>2015</v>
      </c>
      <c r="G536" t="s">
        <v>2019</v>
      </c>
      <c r="H536" t="s">
        <v>2024</v>
      </c>
      <c r="I536">
        <v>75</v>
      </c>
      <c r="J536" t="s">
        <v>2029</v>
      </c>
      <c r="K536" t="s">
        <v>2035</v>
      </c>
    </row>
    <row r="537" spans="1:11" x14ac:dyDescent="0.3">
      <c r="A537" s="6" t="s">
        <v>546</v>
      </c>
      <c r="B537" t="s">
        <v>1545</v>
      </c>
      <c r="C537" t="s">
        <v>2008</v>
      </c>
      <c r="D537">
        <v>14</v>
      </c>
      <c r="E537" t="s">
        <v>2011</v>
      </c>
      <c r="F537" t="s">
        <v>2017</v>
      </c>
      <c r="G537" t="s">
        <v>2018</v>
      </c>
      <c r="H537" t="s">
        <v>2024</v>
      </c>
      <c r="I537">
        <v>8</v>
      </c>
      <c r="J537" t="s">
        <v>2031</v>
      </c>
      <c r="K537" t="s">
        <v>2036</v>
      </c>
    </row>
    <row r="538" spans="1:11" x14ac:dyDescent="0.3">
      <c r="A538" s="6" t="s">
        <v>547</v>
      </c>
      <c r="B538" t="s">
        <v>1546</v>
      </c>
      <c r="C538" t="s">
        <v>2007</v>
      </c>
      <c r="D538">
        <v>15</v>
      </c>
      <c r="E538" t="s">
        <v>2011</v>
      </c>
      <c r="F538" t="s">
        <v>2014</v>
      </c>
      <c r="G538" t="s">
        <v>2022</v>
      </c>
      <c r="H538" t="s">
        <v>2024</v>
      </c>
      <c r="I538">
        <v>83</v>
      </c>
      <c r="J538" t="s">
        <v>2027</v>
      </c>
      <c r="K538" t="s">
        <v>2035</v>
      </c>
    </row>
    <row r="539" spans="1:11" x14ac:dyDescent="0.3">
      <c r="A539" s="6" t="s">
        <v>548</v>
      </c>
      <c r="B539" t="s">
        <v>1547</v>
      </c>
      <c r="C539" t="s">
        <v>2007</v>
      </c>
      <c r="D539">
        <v>16</v>
      </c>
      <c r="E539" t="s">
        <v>2011</v>
      </c>
      <c r="F539" t="s">
        <v>2016</v>
      </c>
      <c r="G539" t="s">
        <v>2019</v>
      </c>
      <c r="H539" t="s">
        <v>2024</v>
      </c>
      <c r="I539">
        <v>75</v>
      </c>
      <c r="J539" t="s">
        <v>2033</v>
      </c>
      <c r="K539" t="s">
        <v>2035</v>
      </c>
    </row>
    <row r="540" spans="1:11" x14ac:dyDescent="0.3">
      <c r="A540" s="6" t="s">
        <v>549</v>
      </c>
      <c r="B540" t="s">
        <v>1548</v>
      </c>
      <c r="C540" t="s">
        <v>2007</v>
      </c>
      <c r="D540">
        <v>17</v>
      </c>
      <c r="E540" t="s">
        <v>2009</v>
      </c>
      <c r="F540" t="s">
        <v>2015</v>
      </c>
      <c r="G540" t="s">
        <v>2021</v>
      </c>
      <c r="H540" t="s">
        <v>2024</v>
      </c>
      <c r="I540">
        <v>0</v>
      </c>
      <c r="J540" t="s">
        <v>2033</v>
      </c>
      <c r="K540" t="s">
        <v>2036</v>
      </c>
    </row>
    <row r="541" spans="1:11" x14ac:dyDescent="0.3">
      <c r="A541" s="6" t="s">
        <v>550</v>
      </c>
      <c r="B541" t="s">
        <v>1549</v>
      </c>
      <c r="C541" t="s">
        <v>2008</v>
      </c>
      <c r="D541">
        <v>18</v>
      </c>
      <c r="E541" t="s">
        <v>2011</v>
      </c>
      <c r="F541" t="s">
        <v>2016</v>
      </c>
      <c r="G541" t="s">
        <v>2022</v>
      </c>
      <c r="H541" t="s">
        <v>2024</v>
      </c>
      <c r="I541">
        <v>89</v>
      </c>
      <c r="J541" t="s">
        <v>2031</v>
      </c>
      <c r="K541" t="s">
        <v>2035</v>
      </c>
    </row>
    <row r="542" spans="1:11" x14ac:dyDescent="0.3">
      <c r="A542" s="6" t="s">
        <v>551</v>
      </c>
      <c r="B542" t="s">
        <v>1550</v>
      </c>
      <c r="C542" t="s">
        <v>2007</v>
      </c>
      <c r="D542">
        <v>14</v>
      </c>
      <c r="E542" t="s">
        <v>2012</v>
      </c>
      <c r="F542" t="s">
        <v>2016</v>
      </c>
      <c r="G542" t="s">
        <v>2018</v>
      </c>
      <c r="H542" t="s">
        <v>2024</v>
      </c>
      <c r="I542">
        <v>74</v>
      </c>
      <c r="J542" t="s">
        <v>2030</v>
      </c>
      <c r="K542" t="s">
        <v>2035</v>
      </c>
    </row>
    <row r="543" spans="1:11" x14ac:dyDescent="0.3">
      <c r="A543" s="6" t="s">
        <v>552</v>
      </c>
      <c r="B543" t="s">
        <v>1551</v>
      </c>
      <c r="C543" t="s">
        <v>2007</v>
      </c>
      <c r="D543">
        <v>17</v>
      </c>
      <c r="E543" t="s">
        <v>2011</v>
      </c>
      <c r="F543" t="s">
        <v>2015</v>
      </c>
      <c r="G543" t="s">
        <v>2021</v>
      </c>
      <c r="H543" t="s">
        <v>2023</v>
      </c>
      <c r="I543">
        <v>49</v>
      </c>
      <c r="J543" t="s">
        <v>2031</v>
      </c>
      <c r="K543" t="s">
        <v>2036</v>
      </c>
    </row>
    <row r="544" spans="1:11" x14ac:dyDescent="0.3">
      <c r="A544" s="6" t="s">
        <v>553</v>
      </c>
      <c r="B544" t="s">
        <v>1552</v>
      </c>
      <c r="C544" t="s">
        <v>2008</v>
      </c>
      <c r="D544">
        <v>14</v>
      </c>
      <c r="E544" t="s">
        <v>2009</v>
      </c>
      <c r="F544" t="s">
        <v>2014</v>
      </c>
      <c r="G544" t="s">
        <v>2020</v>
      </c>
      <c r="H544" t="s">
        <v>2023</v>
      </c>
      <c r="I544">
        <v>68</v>
      </c>
      <c r="J544" t="s">
        <v>2028</v>
      </c>
      <c r="K544" t="s">
        <v>2035</v>
      </c>
    </row>
    <row r="545" spans="1:11" x14ac:dyDescent="0.3">
      <c r="A545" s="6" t="s">
        <v>554</v>
      </c>
      <c r="B545" t="s">
        <v>1553</v>
      </c>
      <c r="C545" t="s">
        <v>2008</v>
      </c>
      <c r="D545">
        <v>16</v>
      </c>
      <c r="E545" t="s">
        <v>2013</v>
      </c>
      <c r="F545" t="s">
        <v>2017</v>
      </c>
      <c r="G545" t="s">
        <v>2021</v>
      </c>
      <c r="H545" t="s">
        <v>2024</v>
      </c>
      <c r="I545">
        <v>95</v>
      </c>
      <c r="J545" t="s">
        <v>2032</v>
      </c>
      <c r="K545" t="s">
        <v>2035</v>
      </c>
    </row>
    <row r="546" spans="1:11" x14ac:dyDescent="0.3">
      <c r="A546" s="6" t="s">
        <v>555</v>
      </c>
      <c r="B546" t="s">
        <v>1554</v>
      </c>
      <c r="C546" t="s">
        <v>2007</v>
      </c>
      <c r="D546">
        <v>18</v>
      </c>
      <c r="E546" t="s">
        <v>2011</v>
      </c>
      <c r="F546" t="s">
        <v>2016</v>
      </c>
      <c r="G546" t="s">
        <v>2020</v>
      </c>
      <c r="H546" t="s">
        <v>2024</v>
      </c>
      <c r="I546">
        <v>94</v>
      </c>
      <c r="J546" t="s">
        <v>2030</v>
      </c>
      <c r="K546" t="s">
        <v>2035</v>
      </c>
    </row>
    <row r="547" spans="1:11" x14ac:dyDescent="0.3">
      <c r="A547" s="6" t="s">
        <v>556</v>
      </c>
      <c r="B547" t="s">
        <v>1555</v>
      </c>
      <c r="C547" t="s">
        <v>2008</v>
      </c>
      <c r="D547">
        <v>14</v>
      </c>
      <c r="E547" t="s">
        <v>2013</v>
      </c>
      <c r="F547" t="s">
        <v>2016</v>
      </c>
      <c r="G547" t="s">
        <v>2019</v>
      </c>
      <c r="H547" t="s">
        <v>2024</v>
      </c>
      <c r="I547">
        <v>47</v>
      </c>
      <c r="J547" t="s">
        <v>2027</v>
      </c>
      <c r="K547" t="s">
        <v>2036</v>
      </c>
    </row>
    <row r="548" spans="1:11" x14ac:dyDescent="0.3">
      <c r="A548" s="6" t="s">
        <v>557</v>
      </c>
      <c r="B548" t="s">
        <v>1556</v>
      </c>
      <c r="C548" t="s">
        <v>2008</v>
      </c>
      <c r="D548">
        <v>15</v>
      </c>
      <c r="E548" t="s">
        <v>2012</v>
      </c>
      <c r="F548" t="s">
        <v>2015</v>
      </c>
      <c r="G548" t="s">
        <v>2021</v>
      </c>
      <c r="H548" t="s">
        <v>2024</v>
      </c>
      <c r="I548">
        <v>1</v>
      </c>
      <c r="J548" t="s">
        <v>2032</v>
      </c>
      <c r="K548" t="s">
        <v>2036</v>
      </c>
    </row>
    <row r="549" spans="1:11" x14ac:dyDescent="0.3">
      <c r="A549" s="6" t="s">
        <v>558</v>
      </c>
      <c r="B549" t="s">
        <v>1557</v>
      </c>
      <c r="C549" t="s">
        <v>2007</v>
      </c>
      <c r="D549">
        <v>18</v>
      </c>
      <c r="E549" t="s">
        <v>2012</v>
      </c>
      <c r="F549" t="s">
        <v>2015</v>
      </c>
      <c r="G549" t="s">
        <v>2019</v>
      </c>
      <c r="H549" t="s">
        <v>2024</v>
      </c>
      <c r="I549">
        <v>56</v>
      </c>
      <c r="J549" t="s">
        <v>2033</v>
      </c>
      <c r="K549" t="s">
        <v>2035</v>
      </c>
    </row>
    <row r="550" spans="1:11" x14ac:dyDescent="0.3">
      <c r="A550" s="6" t="s">
        <v>559</v>
      </c>
      <c r="B550" t="s">
        <v>1558</v>
      </c>
      <c r="C550" t="s">
        <v>2008</v>
      </c>
      <c r="D550">
        <v>17</v>
      </c>
      <c r="E550" t="s">
        <v>2011</v>
      </c>
      <c r="F550" t="s">
        <v>2014</v>
      </c>
      <c r="G550" t="s">
        <v>2022</v>
      </c>
      <c r="H550" t="s">
        <v>2023</v>
      </c>
      <c r="I550">
        <v>51</v>
      </c>
      <c r="J550" t="s">
        <v>2028</v>
      </c>
      <c r="K550" t="s">
        <v>2035</v>
      </c>
    </row>
    <row r="551" spans="1:11" x14ac:dyDescent="0.3">
      <c r="A551" s="6" t="s">
        <v>560</v>
      </c>
      <c r="B551" t="s">
        <v>1559</v>
      </c>
      <c r="C551" t="s">
        <v>2008</v>
      </c>
      <c r="D551">
        <v>17</v>
      </c>
      <c r="E551" t="s">
        <v>2010</v>
      </c>
      <c r="F551" t="s">
        <v>2014</v>
      </c>
      <c r="G551" t="s">
        <v>2021</v>
      </c>
      <c r="H551" t="s">
        <v>2024</v>
      </c>
      <c r="I551">
        <v>20</v>
      </c>
      <c r="J551" t="s">
        <v>2026</v>
      </c>
      <c r="K551" t="s">
        <v>2036</v>
      </c>
    </row>
    <row r="552" spans="1:11" x14ac:dyDescent="0.3">
      <c r="A552" s="6" t="s">
        <v>561</v>
      </c>
      <c r="B552" t="s">
        <v>1560</v>
      </c>
      <c r="C552" t="s">
        <v>2007</v>
      </c>
      <c r="D552">
        <v>16</v>
      </c>
      <c r="E552" t="s">
        <v>2010</v>
      </c>
      <c r="F552" t="s">
        <v>2016</v>
      </c>
      <c r="G552" t="s">
        <v>2020</v>
      </c>
      <c r="H552" t="s">
        <v>2024</v>
      </c>
      <c r="I552">
        <v>26</v>
      </c>
      <c r="J552" t="s">
        <v>2032</v>
      </c>
      <c r="K552" t="s">
        <v>2036</v>
      </c>
    </row>
    <row r="553" spans="1:11" x14ac:dyDescent="0.3">
      <c r="A553" s="6" t="s">
        <v>562</v>
      </c>
      <c r="B553" t="s">
        <v>1561</v>
      </c>
      <c r="C553" t="s">
        <v>2008</v>
      </c>
      <c r="D553">
        <v>16</v>
      </c>
      <c r="E553" t="s">
        <v>2010</v>
      </c>
      <c r="F553" t="s">
        <v>2017</v>
      </c>
      <c r="G553" t="s">
        <v>2022</v>
      </c>
      <c r="H553" t="s">
        <v>2023</v>
      </c>
      <c r="I553">
        <v>55</v>
      </c>
      <c r="J553" t="s">
        <v>2028</v>
      </c>
      <c r="K553" t="s">
        <v>2035</v>
      </c>
    </row>
    <row r="554" spans="1:11" x14ac:dyDescent="0.3">
      <c r="A554" s="6" t="s">
        <v>563</v>
      </c>
      <c r="B554" t="s">
        <v>1562</v>
      </c>
      <c r="C554" t="s">
        <v>2008</v>
      </c>
      <c r="D554">
        <v>16</v>
      </c>
      <c r="E554" t="s">
        <v>2009</v>
      </c>
      <c r="F554" t="s">
        <v>2016</v>
      </c>
      <c r="G554" t="s">
        <v>2021</v>
      </c>
      <c r="H554" t="s">
        <v>2024</v>
      </c>
      <c r="I554">
        <v>13</v>
      </c>
      <c r="J554" t="s">
        <v>2031</v>
      </c>
      <c r="K554" t="s">
        <v>2036</v>
      </c>
    </row>
    <row r="555" spans="1:11" x14ac:dyDescent="0.3">
      <c r="A555" s="6" t="s">
        <v>564</v>
      </c>
      <c r="B555" t="s">
        <v>1563</v>
      </c>
      <c r="C555" t="s">
        <v>2007</v>
      </c>
      <c r="D555">
        <v>15</v>
      </c>
      <c r="E555" t="s">
        <v>2011</v>
      </c>
      <c r="F555" t="s">
        <v>2015</v>
      </c>
      <c r="G555" t="s">
        <v>2018</v>
      </c>
      <c r="H555" t="s">
        <v>2024</v>
      </c>
      <c r="I555">
        <v>90</v>
      </c>
      <c r="J555" t="s">
        <v>2031</v>
      </c>
      <c r="K555" t="s">
        <v>2035</v>
      </c>
    </row>
    <row r="556" spans="1:11" x14ac:dyDescent="0.3">
      <c r="A556" s="6" t="s">
        <v>565</v>
      </c>
      <c r="B556" t="s">
        <v>1564</v>
      </c>
      <c r="C556" t="s">
        <v>2007</v>
      </c>
      <c r="D556">
        <v>17</v>
      </c>
      <c r="E556" t="s">
        <v>2013</v>
      </c>
      <c r="F556" t="s">
        <v>2014</v>
      </c>
      <c r="G556" t="s">
        <v>2019</v>
      </c>
      <c r="H556" t="s">
        <v>2024</v>
      </c>
      <c r="I556">
        <v>91</v>
      </c>
      <c r="J556" t="s">
        <v>2031</v>
      </c>
      <c r="K556" t="s">
        <v>2035</v>
      </c>
    </row>
    <row r="557" spans="1:11" x14ac:dyDescent="0.3">
      <c r="A557" s="6" t="s">
        <v>566</v>
      </c>
      <c r="B557" t="s">
        <v>1565</v>
      </c>
      <c r="C557" t="s">
        <v>2007</v>
      </c>
      <c r="D557">
        <v>17</v>
      </c>
      <c r="E557" t="s">
        <v>2013</v>
      </c>
      <c r="F557" t="s">
        <v>2016</v>
      </c>
      <c r="G557" t="s">
        <v>2022</v>
      </c>
      <c r="H557" t="s">
        <v>2024</v>
      </c>
      <c r="I557">
        <v>55</v>
      </c>
      <c r="J557" t="s">
        <v>2029</v>
      </c>
      <c r="K557" t="s">
        <v>2035</v>
      </c>
    </row>
    <row r="558" spans="1:11" x14ac:dyDescent="0.3">
      <c r="A558" s="6" t="s">
        <v>567</v>
      </c>
      <c r="B558" t="s">
        <v>1566</v>
      </c>
      <c r="C558" t="s">
        <v>2008</v>
      </c>
      <c r="D558">
        <v>16</v>
      </c>
      <c r="E558" t="s">
        <v>2009</v>
      </c>
      <c r="F558" t="s">
        <v>2016</v>
      </c>
      <c r="G558" t="s">
        <v>2018</v>
      </c>
      <c r="H558" t="s">
        <v>2024</v>
      </c>
      <c r="I558">
        <v>69</v>
      </c>
      <c r="J558" t="s">
        <v>2031</v>
      </c>
      <c r="K558" t="s">
        <v>2035</v>
      </c>
    </row>
    <row r="559" spans="1:11" x14ac:dyDescent="0.3">
      <c r="A559" s="6" t="s">
        <v>568</v>
      </c>
      <c r="B559" t="s">
        <v>1567</v>
      </c>
      <c r="C559" t="s">
        <v>2008</v>
      </c>
      <c r="D559">
        <v>16</v>
      </c>
      <c r="E559" t="s">
        <v>2012</v>
      </c>
      <c r="F559" t="s">
        <v>2016</v>
      </c>
      <c r="G559" t="s">
        <v>2020</v>
      </c>
      <c r="H559" t="s">
        <v>2023</v>
      </c>
      <c r="I559">
        <v>68</v>
      </c>
      <c r="J559" t="s">
        <v>2025</v>
      </c>
      <c r="K559" t="s">
        <v>2035</v>
      </c>
    </row>
    <row r="560" spans="1:11" x14ac:dyDescent="0.3">
      <c r="A560" s="6" t="s">
        <v>569</v>
      </c>
      <c r="B560" t="s">
        <v>1568</v>
      </c>
      <c r="C560" t="s">
        <v>2007</v>
      </c>
      <c r="D560">
        <v>14</v>
      </c>
      <c r="E560" t="s">
        <v>2013</v>
      </c>
      <c r="F560" t="s">
        <v>2016</v>
      </c>
      <c r="G560" t="s">
        <v>2020</v>
      </c>
      <c r="H560" t="s">
        <v>2024</v>
      </c>
      <c r="I560">
        <v>17</v>
      </c>
      <c r="J560" t="s">
        <v>2025</v>
      </c>
      <c r="K560" t="s">
        <v>2036</v>
      </c>
    </row>
    <row r="561" spans="1:11" x14ac:dyDescent="0.3">
      <c r="A561" s="6" t="s">
        <v>570</v>
      </c>
      <c r="B561" t="s">
        <v>1569</v>
      </c>
      <c r="C561" t="s">
        <v>2007</v>
      </c>
      <c r="D561">
        <v>15</v>
      </c>
      <c r="E561" t="s">
        <v>2013</v>
      </c>
      <c r="F561" t="s">
        <v>2016</v>
      </c>
      <c r="G561" t="s">
        <v>2018</v>
      </c>
      <c r="H561" t="s">
        <v>2023</v>
      </c>
      <c r="I561">
        <v>1</v>
      </c>
      <c r="J561" t="s">
        <v>2027</v>
      </c>
      <c r="K561" t="s">
        <v>2036</v>
      </c>
    </row>
    <row r="562" spans="1:11" x14ac:dyDescent="0.3">
      <c r="A562" s="6" t="s">
        <v>571</v>
      </c>
      <c r="B562" t="s">
        <v>1570</v>
      </c>
      <c r="C562" t="s">
        <v>2007</v>
      </c>
      <c r="D562">
        <v>15</v>
      </c>
      <c r="E562" t="s">
        <v>2009</v>
      </c>
      <c r="F562" t="s">
        <v>2014</v>
      </c>
      <c r="G562" t="s">
        <v>2021</v>
      </c>
      <c r="H562" t="s">
        <v>2023</v>
      </c>
      <c r="I562">
        <v>21</v>
      </c>
      <c r="J562" t="s">
        <v>2033</v>
      </c>
      <c r="K562" t="s">
        <v>2036</v>
      </c>
    </row>
    <row r="563" spans="1:11" x14ac:dyDescent="0.3">
      <c r="A563" s="6" t="s">
        <v>572</v>
      </c>
      <c r="B563" t="s">
        <v>1571</v>
      </c>
      <c r="C563" t="s">
        <v>2007</v>
      </c>
      <c r="D563">
        <v>14</v>
      </c>
      <c r="E563" t="s">
        <v>2011</v>
      </c>
      <c r="F563" t="s">
        <v>2016</v>
      </c>
      <c r="G563" t="s">
        <v>2018</v>
      </c>
      <c r="H563" t="s">
        <v>2024</v>
      </c>
      <c r="I563">
        <v>51</v>
      </c>
      <c r="J563" t="s">
        <v>2033</v>
      </c>
      <c r="K563" t="s">
        <v>2035</v>
      </c>
    </row>
    <row r="564" spans="1:11" x14ac:dyDescent="0.3">
      <c r="A564" s="6" t="s">
        <v>573</v>
      </c>
      <c r="B564" t="s">
        <v>1572</v>
      </c>
      <c r="C564" t="s">
        <v>2007</v>
      </c>
      <c r="D564">
        <v>17</v>
      </c>
      <c r="E564" t="s">
        <v>2010</v>
      </c>
      <c r="F564" t="s">
        <v>2015</v>
      </c>
      <c r="G564" t="s">
        <v>2022</v>
      </c>
      <c r="H564" t="s">
        <v>2024</v>
      </c>
      <c r="I564">
        <v>96</v>
      </c>
      <c r="J564" t="s">
        <v>2034</v>
      </c>
      <c r="K564" t="s">
        <v>2035</v>
      </c>
    </row>
    <row r="565" spans="1:11" x14ac:dyDescent="0.3">
      <c r="A565" s="6" t="s">
        <v>574</v>
      </c>
      <c r="B565" t="s">
        <v>1573</v>
      </c>
      <c r="C565" t="s">
        <v>2008</v>
      </c>
      <c r="D565">
        <v>17</v>
      </c>
      <c r="E565" t="s">
        <v>2009</v>
      </c>
      <c r="F565" t="s">
        <v>2015</v>
      </c>
      <c r="G565" t="s">
        <v>2019</v>
      </c>
      <c r="H565" t="s">
        <v>2023</v>
      </c>
      <c r="I565">
        <v>23</v>
      </c>
      <c r="J565" t="s">
        <v>2028</v>
      </c>
      <c r="K565" t="s">
        <v>2036</v>
      </c>
    </row>
    <row r="566" spans="1:11" x14ac:dyDescent="0.3">
      <c r="A566" s="6" t="s">
        <v>575</v>
      </c>
      <c r="B566" t="s">
        <v>1574</v>
      </c>
      <c r="C566" t="s">
        <v>2008</v>
      </c>
      <c r="D566">
        <v>18</v>
      </c>
      <c r="E566" t="s">
        <v>2013</v>
      </c>
      <c r="F566" t="s">
        <v>2017</v>
      </c>
      <c r="G566" t="s">
        <v>2020</v>
      </c>
      <c r="H566" t="s">
        <v>2023</v>
      </c>
      <c r="I566">
        <v>69</v>
      </c>
      <c r="J566" t="s">
        <v>2026</v>
      </c>
      <c r="K566" t="s">
        <v>2035</v>
      </c>
    </row>
    <row r="567" spans="1:11" x14ac:dyDescent="0.3">
      <c r="A567" s="6" t="s">
        <v>576</v>
      </c>
      <c r="B567" t="s">
        <v>1575</v>
      </c>
      <c r="C567" t="s">
        <v>2007</v>
      </c>
      <c r="D567">
        <v>17</v>
      </c>
      <c r="E567" t="s">
        <v>2012</v>
      </c>
      <c r="F567" t="s">
        <v>2016</v>
      </c>
      <c r="G567" t="s">
        <v>2020</v>
      </c>
      <c r="H567" t="s">
        <v>2024</v>
      </c>
      <c r="I567">
        <v>38</v>
      </c>
      <c r="J567" t="s">
        <v>2027</v>
      </c>
      <c r="K567" t="s">
        <v>2036</v>
      </c>
    </row>
    <row r="568" spans="1:11" x14ac:dyDescent="0.3">
      <c r="A568" s="6" t="s">
        <v>577</v>
      </c>
      <c r="B568" t="s">
        <v>1576</v>
      </c>
      <c r="C568" t="s">
        <v>2007</v>
      </c>
      <c r="D568">
        <v>16</v>
      </c>
      <c r="E568" t="s">
        <v>2012</v>
      </c>
      <c r="F568" t="s">
        <v>2015</v>
      </c>
      <c r="G568" t="s">
        <v>2019</v>
      </c>
      <c r="H568" t="s">
        <v>2024</v>
      </c>
      <c r="I568">
        <v>66</v>
      </c>
      <c r="J568" t="s">
        <v>2027</v>
      </c>
      <c r="K568" t="s">
        <v>2035</v>
      </c>
    </row>
    <row r="569" spans="1:11" x14ac:dyDescent="0.3">
      <c r="A569" s="6" t="s">
        <v>578</v>
      </c>
      <c r="B569" t="s">
        <v>1577</v>
      </c>
      <c r="C569" t="s">
        <v>2007</v>
      </c>
      <c r="D569">
        <v>14</v>
      </c>
      <c r="E569" t="s">
        <v>2013</v>
      </c>
      <c r="F569" t="s">
        <v>2017</v>
      </c>
      <c r="G569" t="s">
        <v>2022</v>
      </c>
      <c r="H569" t="s">
        <v>2023</v>
      </c>
      <c r="I569">
        <v>95</v>
      </c>
      <c r="J569" t="s">
        <v>2031</v>
      </c>
      <c r="K569" t="s">
        <v>2035</v>
      </c>
    </row>
    <row r="570" spans="1:11" x14ac:dyDescent="0.3">
      <c r="A570" s="6" t="s">
        <v>579</v>
      </c>
      <c r="B570" t="s">
        <v>1578</v>
      </c>
      <c r="C570" t="s">
        <v>2008</v>
      </c>
      <c r="D570">
        <v>18</v>
      </c>
      <c r="E570" t="s">
        <v>2013</v>
      </c>
      <c r="F570" t="s">
        <v>2015</v>
      </c>
      <c r="G570" t="s">
        <v>2019</v>
      </c>
      <c r="H570" t="s">
        <v>2024</v>
      </c>
      <c r="I570">
        <v>84</v>
      </c>
      <c r="J570" t="s">
        <v>2032</v>
      </c>
      <c r="K570" t="s">
        <v>2035</v>
      </c>
    </row>
    <row r="571" spans="1:11" x14ac:dyDescent="0.3">
      <c r="A571" s="6" t="s">
        <v>580</v>
      </c>
      <c r="B571" t="s">
        <v>1579</v>
      </c>
      <c r="C571" t="s">
        <v>2008</v>
      </c>
      <c r="D571">
        <v>18</v>
      </c>
      <c r="E571" t="s">
        <v>2009</v>
      </c>
      <c r="F571" t="s">
        <v>2017</v>
      </c>
      <c r="G571" t="s">
        <v>2022</v>
      </c>
      <c r="H571" t="s">
        <v>2023</v>
      </c>
      <c r="I571">
        <v>36</v>
      </c>
      <c r="J571" t="s">
        <v>2032</v>
      </c>
      <c r="K571" t="s">
        <v>2036</v>
      </c>
    </row>
    <row r="572" spans="1:11" x14ac:dyDescent="0.3">
      <c r="A572" s="6" t="s">
        <v>581</v>
      </c>
      <c r="B572" t="s">
        <v>1580</v>
      </c>
      <c r="C572" t="s">
        <v>2008</v>
      </c>
      <c r="D572">
        <v>15</v>
      </c>
      <c r="E572" t="s">
        <v>2012</v>
      </c>
      <c r="F572" t="s">
        <v>2016</v>
      </c>
      <c r="G572" t="s">
        <v>2021</v>
      </c>
      <c r="H572" t="s">
        <v>2023</v>
      </c>
      <c r="I572">
        <v>70</v>
      </c>
      <c r="J572" t="s">
        <v>2030</v>
      </c>
      <c r="K572" t="s">
        <v>2035</v>
      </c>
    </row>
    <row r="573" spans="1:11" x14ac:dyDescent="0.3">
      <c r="A573" s="6" t="s">
        <v>582</v>
      </c>
      <c r="B573" t="s">
        <v>1581</v>
      </c>
      <c r="C573" t="s">
        <v>2007</v>
      </c>
      <c r="D573">
        <v>15</v>
      </c>
      <c r="E573" t="s">
        <v>2011</v>
      </c>
      <c r="F573" t="s">
        <v>2015</v>
      </c>
      <c r="G573" t="s">
        <v>2018</v>
      </c>
      <c r="H573" t="s">
        <v>2024</v>
      </c>
      <c r="I573">
        <v>15</v>
      </c>
      <c r="J573" t="s">
        <v>2026</v>
      </c>
      <c r="K573" t="s">
        <v>2036</v>
      </c>
    </row>
    <row r="574" spans="1:11" x14ac:dyDescent="0.3">
      <c r="A574" s="6" t="s">
        <v>583</v>
      </c>
      <c r="B574" t="s">
        <v>1582</v>
      </c>
      <c r="C574" t="s">
        <v>2008</v>
      </c>
      <c r="D574">
        <v>17</v>
      </c>
      <c r="E574" t="s">
        <v>2009</v>
      </c>
      <c r="F574" t="s">
        <v>2016</v>
      </c>
      <c r="G574" t="s">
        <v>2019</v>
      </c>
      <c r="H574" t="s">
        <v>2023</v>
      </c>
      <c r="I574">
        <v>8</v>
      </c>
      <c r="J574" t="s">
        <v>2032</v>
      </c>
      <c r="K574" t="s">
        <v>2036</v>
      </c>
    </row>
    <row r="575" spans="1:11" x14ac:dyDescent="0.3">
      <c r="A575" s="6" t="s">
        <v>584</v>
      </c>
      <c r="B575" t="s">
        <v>1583</v>
      </c>
      <c r="C575" t="s">
        <v>2008</v>
      </c>
      <c r="D575">
        <v>16</v>
      </c>
      <c r="E575" t="s">
        <v>2011</v>
      </c>
      <c r="F575" t="s">
        <v>2014</v>
      </c>
      <c r="G575" t="s">
        <v>2021</v>
      </c>
      <c r="H575" t="s">
        <v>2024</v>
      </c>
      <c r="I575">
        <v>88</v>
      </c>
      <c r="J575" t="s">
        <v>2034</v>
      </c>
      <c r="K575" t="s">
        <v>2035</v>
      </c>
    </row>
    <row r="576" spans="1:11" x14ac:dyDescent="0.3">
      <c r="A576" s="6" t="s">
        <v>585</v>
      </c>
      <c r="B576" t="s">
        <v>1584</v>
      </c>
      <c r="C576" t="s">
        <v>2007</v>
      </c>
      <c r="D576">
        <v>15</v>
      </c>
      <c r="E576" t="s">
        <v>2009</v>
      </c>
      <c r="F576" t="s">
        <v>2017</v>
      </c>
      <c r="G576" t="s">
        <v>2020</v>
      </c>
      <c r="H576" t="s">
        <v>2024</v>
      </c>
      <c r="I576">
        <v>28</v>
      </c>
      <c r="J576" t="s">
        <v>2031</v>
      </c>
      <c r="K576" t="s">
        <v>2036</v>
      </c>
    </row>
    <row r="577" spans="1:11" x14ac:dyDescent="0.3">
      <c r="A577" s="6" t="s">
        <v>586</v>
      </c>
      <c r="B577" t="s">
        <v>1585</v>
      </c>
      <c r="C577" t="s">
        <v>2008</v>
      </c>
      <c r="D577">
        <v>17</v>
      </c>
      <c r="E577" t="s">
        <v>2013</v>
      </c>
      <c r="F577" t="s">
        <v>2017</v>
      </c>
      <c r="G577" t="s">
        <v>2020</v>
      </c>
      <c r="H577" t="s">
        <v>2023</v>
      </c>
      <c r="I577">
        <v>11</v>
      </c>
      <c r="J577" t="s">
        <v>2032</v>
      </c>
      <c r="K577" t="s">
        <v>2036</v>
      </c>
    </row>
    <row r="578" spans="1:11" x14ac:dyDescent="0.3">
      <c r="A578" s="6" t="s">
        <v>587</v>
      </c>
      <c r="B578" t="s">
        <v>1586</v>
      </c>
      <c r="C578" t="s">
        <v>2007</v>
      </c>
      <c r="D578">
        <v>18</v>
      </c>
      <c r="E578" t="s">
        <v>2011</v>
      </c>
      <c r="F578" t="s">
        <v>2015</v>
      </c>
      <c r="G578" t="s">
        <v>2018</v>
      </c>
      <c r="H578" t="s">
        <v>2023</v>
      </c>
      <c r="I578">
        <v>86</v>
      </c>
      <c r="J578" t="s">
        <v>2032</v>
      </c>
      <c r="K578" t="s">
        <v>2035</v>
      </c>
    </row>
    <row r="579" spans="1:11" x14ac:dyDescent="0.3">
      <c r="A579" s="6" t="s">
        <v>588</v>
      </c>
      <c r="B579" t="s">
        <v>1587</v>
      </c>
      <c r="C579" t="s">
        <v>2007</v>
      </c>
      <c r="D579">
        <v>17</v>
      </c>
      <c r="E579" t="s">
        <v>2012</v>
      </c>
      <c r="F579" t="s">
        <v>2016</v>
      </c>
      <c r="G579" t="s">
        <v>2019</v>
      </c>
      <c r="H579" t="s">
        <v>2024</v>
      </c>
      <c r="I579">
        <v>35</v>
      </c>
      <c r="J579" t="s">
        <v>2026</v>
      </c>
      <c r="K579" t="s">
        <v>2036</v>
      </c>
    </row>
    <row r="580" spans="1:11" x14ac:dyDescent="0.3">
      <c r="A580" s="6" t="s">
        <v>589</v>
      </c>
      <c r="B580" t="s">
        <v>1588</v>
      </c>
      <c r="C580" t="s">
        <v>2008</v>
      </c>
      <c r="D580">
        <v>17</v>
      </c>
      <c r="E580" t="s">
        <v>2009</v>
      </c>
      <c r="F580" t="s">
        <v>2016</v>
      </c>
      <c r="G580" t="s">
        <v>2020</v>
      </c>
      <c r="H580" t="s">
        <v>2023</v>
      </c>
      <c r="I580">
        <v>1</v>
      </c>
      <c r="J580" t="s">
        <v>2025</v>
      </c>
      <c r="K580" t="s">
        <v>2036</v>
      </c>
    </row>
    <row r="581" spans="1:11" x14ac:dyDescent="0.3">
      <c r="A581" s="6" t="s">
        <v>590</v>
      </c>
      <c r="B581" t="s">
        <v>1589</v>
      </c>
      <c r="C581" t="s">
        <v>2007</v>
      </c>
      <c r="D581">
        <v>17</v>
      </c>
      <c r="E581" t="s">
        <v>2009</v>
      </c>
      <c r="F581" t="s">
        <v>2016</v>
      </c>
      <c r="G581" t="s">
        <v>2020</v>
      </c>
      <c r="H581" t="s">
        <v>2023</v>
      </c>
      <c r="I581">
        <v>51</v>
      </c>
      <c r="J581" t="s">
        <v>2027</v>
      </c>
      <c r="K581" t="s">
        <v>2035</v>
      </c>
    </row>
    <row r="582" spans="1:11" x14ac:dyDescent="0.3">
      <c r="A582" s="6" t="s">
        <v>591</v>
      </c>
      <c r="B582" t="s">
        <v>1590</v>
      </c>
      <c r="C582" t="s">
        <v>2007</v>
      </c>
      <c r="D582">
        <v>17</v>
      </c>
      <c r="E582" t="s">
        <v>2009</v>
      </c>
      <c r="F582" t="s">
        <v>2015</v>
      </c>
      <c r="G582" t="s">
        <v>2021</v>
      </c>
      <c r="H582" t="s">
        <v>2023</v>
      </c>
      <c r="I582">
        <v>36</v>
      </c>
      <c r="J582" t="s">
        <v>2031</v>
      </c>
      <c r="K582" t="s">
        <v>2036</v>
      </c>
    </row>
    <row r="583" spans="1:11" x14ac:dyDescent="0.3">
      <c r="A583" s="6" t="s">
        <v>592</v>
      </c>
      <c r="B583" t="s">
        <v>1591</v>
      </c>
      <c r="C583" t="s">
        <v>2008</v>
      </c>
      <c r="D583">
        <v>17</v>
      </c>
      <c r="E583" t="s">
        <v>2009</v>
      </c>
      <c r="F583" t="s">
        <v>2016</v>
      </c>
      <c r="G583" t="s">
        <v>2022</v>
      </c>
      <c r="H583" t="s">
        <v>2023</v>
      </c>
      <c r="I583">
        <v>57</v>
      </c>
      <c r="J583" t="s">
        <v>2033</v>
      </c>
      <c r="K583" t="s">
        <v>2035</v>
      </c>
    </row>
    <row r="584" spans="1:11" x14ac:dyDescent="0.3">
      <c r="A584" s="6" t="s">
        <v>593</v>
      </c>
      <c r="B584" t="s">
        <v>1592</v>
      </c>
      <c r="C584" t="s">
        <v>2007</v>
      </c>
      <c r="D584">
        <v>18</v>
      </c>
      <c r="E584" t="s">
        <v>2013</v>
      </c>
      <c r="F584" t="s">
        <v>2017</v>
      </c>
      <c r="G584" t="s">
        <v>2019</v>
      </c>
      <c r="H584" t="s">
        <v>2023</v>
      </c>
      <c r="I584">
        <v>77</v>
      </c>
      <c r="J584" t="s">
        <v>2033</v>
      </c>
      <c r="K584" t="s">
        <v>2035</v>
      </c>
    </row>
    <row r="585" spans="1:11" x14ac:dyDescent="0.3">
      <c r="A585" s="6" t="s">
        <v>594</v>
      </c>
      <c r="B585" t="s">
        <v>1593</v>
      </c>
      <c r="C585" t="s">
        <v>2007</v>
      </c>
      <c r="D585">
        <v>14</v>
      </c>
      <c r="E585" t="s">
        <v>2009</v>
      </c>
      <c r="F585" t="s">
        <v>2014</v>
      </c>
      <c r="G585" t="s">
        <v>2022</v>
      </c>
      <c r="H585" t="s">
        <v>2023</v>
      </c>
      <c r="I585">
        <v>100</v>
      </c>
      <c r="J585" t="s">
        <v>2027</v>
      </c>
      <c r="K585" t="s">
        <v>2035</v>
      </c>
    </row>
    <row r="586" spans="1:11" x14ac:dyDescent="0.3">
      <c r="A586" s="6" t="s">
        <v>595</v>
      </c>
      <c r="B586" t="s">
        <v>1594</v>
      </c>
      <c r="C586" t="s">
        <v>2008</v>
      </c>
      <c r="D586">
        <v>14</v>
      </c>
      <c r="E586" t="s">
        <v>2012</v>
      </c>
      <c r="F586" t="s">
        <v>2016</v>
      </c>
      <c r="G586" t="s">
        <v>2020</v>
      </c>
      <c r="H586" t="s">
        <v>2024</v>
      </c>
      <c r="I586">
        <v>16</v>
      </c>
      <c r="J586" t="s">
        <v>2026</v>
      </c>
      <c r="K586" t="s">
        <v>2036</v>
      </c>
    </row>
    <row r="587" spans="1:11" x14ac:dyDescent="0.3">
      <c r="A587" s="6" t="s">
        <v>596</v>
      </c>
      <c r="B587" t="s">
        <v>1595</v>
      </c>
      <c r="C587" t="s">
        <v>2007</v>
      </c>
      <c r="D587">
        <v>15</v>
      </c>
      <c r="E587" t="s">
        <v>2009</v>
      </c>
      <c r="F587" t="s">
        <v>2015</v>
      </c>
      <c r="G587" t="s">
        <v>2022</v>
      </c>
      <c r="H587" t="s">
        <v>2023</v>
      </c>
      <c r="I587">
        <v>94</v>
      </c>
      <c r="J587" t="s">
        <v>2029</v>
      </c>
      <c r="K587" t="s">
        <v>2035</v>
      </c>
    </row>
    <row r="588" spans="1:11" x14ac:dyDescent="0.3">
      <c r="A588" s="6" t="s">
        <v>597</v>
      </c>
      <c r="B588" t="s">
        <v>1596</v>
      </c>
      <c r="C588" t="s">
        <v>2007</v>
      </c>
      <c r="D588">
        <v>18</v>
      </c>
      <c r="E588" t="s">
        <v>2010</v>
      </c>
      <c r="F588" t="s">
        <v>2015</v>
      </c>
      <c r="G588" t="s">
        <v>2018</v>
      </c>
      <c r="H588" t="s">
        <v>2024</v>
      </c>
      <c r="I588">
        <v>60</v>
      </c>
      <c r="J588" t="s">
        <v>2028</v>
      </c>
      <c r="K588" t="s">
        <v>2035</v>
      </c>
    </row>
    <row r="589" spans="1:11" x14ac:dyDescent="0.3">
      <c r="A589" s="6" t="s">
        <v>598</v>
      </c>
      <c r="B589" t="s">
        <v>1597</v>
      </c>
      <c r="C589" t="s">
        <v>2007</v>
      </c>
      <c r="D589">
        <v>17</v>
      </c>
      <c r="E589" t="s">
        <v>2013</v>
      </c>
      <c r="F589" t="s">
        <v>2015</v>
      </c>
      <c r="G589" t="s">
        <v>2020</v>
      </c>
      <c r="H589" t="s">
        <v>2024</v>
      </c>
      <c r="I589">
        <v>85</v>
      </c>
      <c r="J589" t="s">
        <v>2025</v>
      </c>
      <c r="K589" t="s">
        <v>2035</v>
      </c>
    </row>
    <row r="590" spans="1:11" x14ac:dyDescent="0.3">
      <c r="A590" s="6" t="s">
        <v>599</v>
      </c>
      <c r="B590" t="s">
        <v>1598</v>
      </c>
      <c r="C590" t="s">
        <v>2007</v>
      </c>
      <c r="D590">
        <v>18</v>
      </c>
      <c r="E590" t="s">
        <v>2013</v>
      </c>
      <c r="F590" t="s">
        <v>2015</v>
      </c>
      <c r="G590" t="s">
        <v>2018</v>
      </c>
      <c r="H590" t="s">
        <v>2023</v>
      </c>
      <c r="I590">
        <v>9</v>
      </c>
      <c r="J590" t="s">
        <v>2025</v>
      </c>
      <c r="K590" t="s">
        <v>2036</v>
      </c>
    </row>
    <row r="591" spans="1:11" x14ac:dyDescent="0.3">
      <c r="A591" s="6" t="s">
        <v>600</v>
      </c>
      <c r="B591" t="s">
        <v>1599</v>
      </c>
      <c r="C591" t="s">
        <v>2008</v>
      </c>
      <c r="D591">
        <v>17</v>
      </c>
      <c r="E591" t="s">
        <v>2009</v>
      </c>
      <c r="F591" t="s">
        <v>2014</v>
      </c>
      <c r="G591" t="s">
        <v>2021</v>
      </c>
      <c r="H591" t="s">
        <v>2024</v>
      </c>
      <c r="I591">
        <v>61</v>
      </c>
      <c r="J591" t="s">
        <v>2028</v>
      </c>
      <c r="K591" t="s">
        <v>2035</v>
      </c>
    </row>
    <row r="592" spans="1:11" x14ac:dyDescent="0.3">
      <c r="A592" s="6" t="s">
        <v>601</v>
      </c>
      <c r="B592" t="s">
        <v>1600</v>
      </c>
      <c r="C592" t="s">
        <v>2007</v>
      </c>
      <c r="D592">
        <v>14</v>
      </c>
      <c r="E592" t="s">
        <v>2009</v>
      </c>
      <c r="F592" t="s">
        <v>2016</v>
      </c>
      <c r="G592" t="s">
        <v>2021</v>
      </c>
      <c r="H592" t="s">
        <v>2024</v>
      </c>
      <c r="I592">
        <v>81</v>
      </c>
      <c r="J592" t="s">
        <v>2026</v>
      </c>
      <c r="K592" t="s">
        <v>2035</v>
      </c>
    </row>
    <row r="593" spans="1:11" x14ac:dyDescent="0.3">
      <c r="A593" s="6" t="s">
        <v>602</v>
      </c>
      <c r="B593" t="s">
        <v>1601</v>
      </c>
      <c r="C593" t="s">
        <v>2008</v>
      </c>
      <c r="D593">
        <v>18</v>
      </c>
      <c r="E593" t="s">
        <v>2011</v>
      </c>
      <c r="F593" t="s">
        <v>2015</v>
      </c>
      <c r="G593" t="s">
        <v>2019</v>
      </c>
      <c r="H593" t="s">
        <v>2023</v>
      </c>
      <c r="I593">
        <v>42</v>
      </c>
      <c r="J593" t="s">
        <v>2027</v>
      </c>
      <c r="K593" t="s">
        <v>2036</v>
      </c>
    </row>
    <row r="594" spans="1:11" x14ac:dyDescent="0.3">
      <c r="A594" s="6" t="s">
        <v>603</v>
      </c>
      <c r="B594" t="s">
        <v>1602</v>
      </c>
      <c r="C594" t="s">
        <v>2008</v>
      </c>
      <c r="D594">
        <v>18</v>
      </c>
      <c r="E594" t="s">
        <v>2010</v>
      </c>
      <c r="F594" t="s">
        <v>2014</v>
      </c>
      <c r="G594" t="s">
        <v>2019</v>
      </c>
      <c r="H594" t="s">
        <v>2023</v>
      </c>
      <c r="I594">
        <v>44</v>
      </c>
      <c r="J594" t="s">
        <v>2034</v>
      </c>
      <c r="K594" t="s">
        <v>2036</v>
      </c>
    </row>
    <row r="595" spans="1:11" x14ac:dyDescent="0.3">
      <c r="A595" s="6" t="s">
        <v>604</v>
      </c>
      <c r="B595" t="s">
        <v>1603</v>
      </c>
      <c r="C595" t="s">
        <v>2008</v>
      </c>
      <c r="D595">
        <v>15</v>
      </c>
      <c r="E595" t="s">
        <v>2009</v>
      </c>
      <c r="F595" t="s">
        <v>2017</v>
      </c>
      <c r="G595" t="s">
        <v>2020</v>
      </c>
      <c r="H595" t="s">
        <v>2024</v>
      </c>
      <c r="I595">
        <v>82</v>
      </c>
      <c r="J595" t="s">
        <v>2032</v>
      </c>
      <c r="K595" t="s">
        <v>2035</v>
      </c>
    </row>
    <row r="596" spans="1:11" x14ac:dyDescent="0.3">
      <c r="A596" s="6" t="s">
        <v>605</v>
      </c>
      <c r="B596" t="s">
        <v>1604</v>
      </c>
      <c r="C596" t="s">
        <v>2008</v>
      </c>
      <c r="D596">
        <v>15</v>
      </c>
      <c r="E596" t="s">
        <v>2010</v>
      </c>
      <c r="F596" t="s">
        <v>2014</v>
      </c>
      <c r="G596" t="s">
        <v>2021</v>
      </c>
      <c r="H596" t="s">
        <v>2023</v>
      </c>
      <c r="I596">
        <v>2</v>
      </c>
      <c r="J596" t="s">
        <v>2032</v>
      </c>
      <c r="K596" t="s">
        <v>2036</v>
      </c>
    </row>
    <row r="597" spans="1:11" x14ac:dyDescent="0.3">
      <c r="A597" s="6" t="s">
        <v>606</v>
      </c>
      <c r="B597" t="s">
        <v>1605</v>
      </c>
      <c r="C597" t="s">
        <v>2008</v>
      </c>
      <c r="D597">
        <v>18</v>
      </c>
      <c r="E597" t="s">
        <v>2010</v>
      </c>
      <c r="F597" t="s">
        <v>2017</v>
      </c>
      <c r="G597" t="s">
        <v>2020</v>
      </c>
      <c r="H597" t="s">
        <v>2023</v>
      </c>
      <c r="I597">
        <v>89</v>
      </c>
      <c r="J597" t="s">
        <v>2034</v>
      </c>
      <c r="K597" t="s">
        <v>2035</v>
      </c>
    </row>
    <row r="598" spans="1:11" x14ac:dyDescent="0.3">
      <c r="A598" s="6" t="s">
        <v>607</v>
      </c>
      <c r="B598" t="s">
        <v>1606</v>
      </c>
      <c r="C598" t="s">
        <v>2007</v>
      </c>
      <c r="D598">
        <v>16</v>
      </c>
      <c r="E598" t="s">
        <v>2012</v>
      </c>
      <c r="F598" t="s">
        <v>2014</v>
      </c>
      <c r="G598" t="s">
        <v>2019</v>
      </c>
      <c r="H598" t="s">
        <v>2024</v>
      </c>
      <c r="I598">
        <v>57</v>
      </c>
      <c r="J598" t="s">
        <v>2033</v>
      </c>
      <c r="K598" t="s">
        <v>2035</v>
      </c>
    </row>
    <row r="599" spans="1:11" x14ac:dyDescent="0.3">
      <c r="A599" s="6" t="s">
        <v>608</v>
      </c>
      <c r="B599" t="s">
        <v>1607</v>
      </c>
      <c r="C599" t="s">
        <v>2008</v>
      </c>
      <c r="D599">
        <v>16</v>
      </c>
      <c r="E599" t="s">
        <v>2011</v>
      </c>
      <c r="F599" t="s">
        <v>2015</v>
      </c>
      <c r="G599" t="s">
        <v>2022</v>
      </c>
      <c r="H599" t="s">
        <v>2024</v>
      </c>
      <c r="I599">
        <v>11</v>
      </c>
      <c r="J599" t="s">
        <v>2032</v>
      </c>
      <c r="K599" t="s">
        <v>2036</v>
      </c>
    </row>
    <row r="600" spans="1:11" x14ac:dyDescent="0.3">
      <c r="A600" s="6" t="s">
        <v>609</v>
      </c>
      <c r="B600" t="s">
        <v>1608</v>
      </c>
      <c r="C600" t="s">
        <v>2008</v>
      </c>
      <c r="D600">
        <v>17</v>
      </c>
      <c r="E600" t="s">
        <v>2013</v>
      </c>
      <c r="F600" t="s">
        <v>2014</v>
      </c>
      <c r="G600" t="s">
        <v>2018</v>
      </c>
      <c r="H600" t="s">
        <v>2023</v>
      </c>
      <c r="I600">
        <v>42</v>
      </c>
      <c r="J600" t="s">
        <v>2034</v>
      </c>
      <c r="K600" t="s">
        <v>2036</v>
      </c>
    </row>
    <row r="601" spans="1:11" x14ac:dyDescent="0.3">
      <c r="A601" s="6" t="s">
        <v>610</v>
      </c>
      <c r="B601" t="s">
        <v>1609</v>
      </c>
      <c r="C601" t="s">
        <v>2007</v>
      </c>
      <c r="D601">
        <v>15</v>
      </c>
      <c r="E601" t="s">
        <v>2012</v>
      </c>
      <c r="F601" t="s">
        <v>2014</v>
      </c>
      <c r="G601" t="s">
        <v>2020</v>
      </c>
      <c r="H601" t="s">
        <v>2024</v>
      </c>
      <c r="I601">
        <v>20</v>
      </c>
      <c r="J601" t="s">
        <v>2033</v>
      </c>
      <c r="K601" t="s">
        <v>2036</v>
      </c>
    </row>
    <row r="602" spans="1:11" x14ac:dyDescent="0.3">
      <c r="A602" s="6" t="s">
        <v>611</v>
      </c>
      <c r="B602" t="s">
        <v>1610</v>
      </c>
      <c r="C602" t="s">
        <v>2008</v>
      </c>
      <c r="D602">
        <v>14</v>
      </c>
      <c r="E602" t="s">
        <v>2010</v>
      </c>
      <c r="F602" t="s">
        <v>2015</v>
      </c>
      <c r="G602" t="s">
        <v>2018</v>
      </c>
      <c r="H602" t="s">
        <v>2023</v>
      </c>
      <c r="I602">
        <v>26</v>
      </c>
      <c r="J602" t="s">
        <v>2025</v>
      </c>
      <c r="K602" t="s">
        <v>2036</v>
      </c>
    </row>
    <row r="603" spans="1:11" x14ac:dyDescent="0.3">
      <c r="A603" s="6" t="s">
        <v>612</v>
      </c>
      <c r="B603" t="s">
        <v>1611</v>
      </c>
      <c r="C603" t="s">
        <v>2008</v>
      </c>
      <c r="D603">
        <v>15</v>
      </c>
      <c r="E603" t="s">
        <v>2011</v>
      </c>
      <c r="F603" t="s">
        <v>2015</v>
      </c>
      <c r="G603" t="s">
        <v>2019</v>
      </c>
      <c r="H603" t="s">
        <v>2023</v>
      </c>
      <c r="I603">
        <v>38</v>
      </c>
      <c r="J603" t="s">
        <v>2033</v>
      </c>
      <c r="K603" t="s">
        <v>2036</v>
      </c>
    </row>
    <row r="604" spans="1:11" x14ac:dyDescent="0.3">
      <c r="A604" s="6" t="s">
        <v>613</v>
      </c>
      <c r="B604" t="s">
        <v>1612</v>
      </c>
      <c r="C604" t="s">
        <v>2007</v>
      </c>
      <c r="D604">
        <v>17</v>
      </c>
      <c r="E604" t="s">
        <v>2012</v>
      </c>
      <c r="F604" t="s">
        <v>2014</v>
      </c>
      <c r="G604" t="s">
        <v>2022</v>
      </c>
      <c r="H604" t="s">
        <v>2024</v>
      </c>
      <c r="I604">
        <v>82</v>
      </c>
      <c r="J604" t="s">
        <v>2033</v>
      </c>
      <c r="K604" t="s">
        <v>2035</v>
      </c>
    </row>
    <row r="605" spans="1:11" x14ac:dyDescent="0.3">
      <c r="A605" s="6" t="s">
        <v>614</v>
      </c>
      <c r="B605" t="s">
        <v>1613</v>
      </c>
      <c r="C605" t="s">
        <v>2007</v>
      </c>
      <c r="D605">
        <v>18</v>
      </c>
      <c r="E605" t="s">
        <v>2010</v>
      </c>
      <c r="F605" t="s">
        <v>2015</v>
      </c>
      <c r="G605" t="s">
        <v>2021</v>
      </c>
      <c r="H605" t="s">
        <v>2023</v>
      </c>
      <c r="I605">
        <v>82</v>
      </c>
      <c r="J605" t="s">
        <v>2025</v>
      </c>
      <c r="K605" t="s">
        <v>2035</v>
      </c>
    </row>
    <row r="606" spans="1:11" x14ac:dyDescent="0.3">
      <c r="A606" s="6" t="s">
        <v>615</v>
      </c>
      <c r="B606" t="s">
        <v>1614</v>
      </c>
      <c r="C606" t="s">
        <v>2007</v>
      </c>
      <c r="D606">
        <v>14</v>
      </c>
      <c r="E606" t="s">
        <v>2011</v>
      </c>
      <c r="F606" t="s">
        <v>2016</v>
      </c>
      <c r="G606" t="s">
        <v>2019</v>
      </c>
      <c r="H606" t="s">
        <v>2024</v>
      </c>
      <c r="I606">
        <v>10</v>
      </c>
      <c r="J606" t="s">
        <v>2027</v>
      </c>
      <c r="K606" t="s">
        <v>2036</v>
      </c>
    </row>
    <row r="607" spans="1:11" x14ac:dyDescent="0.3">
      <c r="A607" s="6" t="s">
        <v>616</v>
      </c>
      <c r="B607" t="s">
        <v>1615</v>
      </c>
      <c r="C607" t="s">
        <v>2008</v>
      </c>
      <c r="D607">
        <v>16</v>
      </c>
      <c r="E607" t="s">
        <v>2011</v>
      </c>
      <c r="F607" t="s">
        <v>2016</v>
      </c>
      <c r="G607" t="s">
        <v>2022</v>
      </c>
      <c r="H607" t="s">
        <v>2024</v>
      </c>
      <c r="I607">
        <v>91</v>
      </c>
      <c r="J607" t="s">
        <v>2032</v>
      </c>
      <c r="K607" t="s">
        <v>2035</v>
      </c>
    </row>
    <row r="608" spans="1:11" x14ac:dyDescent="0.3">
      <c r="A608" s="6" t="s">
        <v>617</v>
      </c>
      <c r="B608" t="s">
        <v>1616</v>
      </c>
      <c r="C608" t="s">
        <v>2008</v>
      </c>
      <c r="D608">
        <v>14</v>
      </c>
      <c r="E608" t="s">
        <v>2013</v>
      </c>
      <c r="F608" t="s">
        <v>2014</v>
      </c>
      <c r="G608" t="s">
        <v>2020</v>
      </c>
      <c r="H608" t="s">
        <v>2023</v>
      </c>
      <c r="I608">
        <v>72</v>
      </c>
      <c r="J608" t="s">
        <v>2027</v>
      </c>
      <c r="K608" t="s">
        <v>2035</v>
      </c>
    </row>
    <row r="609" spans="1:11" x14ac:dyDescent="0.3">
      <c r="A609" s="6" t="s">
        <v>618</v>
      </c>
      <c r="B609" t="s">
        <v>1617</v>
      </c>
      <c r="C609" t="s">
        <v>2008</v>
      </c>
      <c r="D609">
        <v>14</v>
      </c>
      <c r="E609" t="s">
        <v>2010</v>
      </c>
      <c r="F609" t="s">
        <v>2017</v>
      </c>
      <c r="G609" t="s">
        <v>2021</v>
      </c>
      <c r="H609" t="s">
        <v>2023</v>
      </c>
      <c r="I609">
        <v>74</v>
      </c>
      <c r="J609" t="s">
        <v>2031</v>
      </c>
      <c r="K609" t="s">
        <v>2035</v>
      </c>
    </row>
    <row r="610" spans="1:11" x14ac:dyDescent="0.3">
      <c r="A610" s="6" t="s">
        <v>619</v>
      </c>
      <c r="B610" t="s">
        <v>1618</v>
      </c>
      <c r="C610" t="s">
        <v>2008</v>
      </c>
      <c r="D610">
        <v>17</v>
      </c>
      <c r="E610" t="s">
        <v>2013</v>
      </c>
      <c r="F610" t="s">
        <v>2014</v>
      </c>
      <c r="G610" t="s">
        <v>2020</v>
      </c>
      <c r="H610" t="s">
        <v>2023</v>
      </c>
      <c r="I610">
        <v>54</v>
      </c>
      <c r="J610" t="s">
        <v>2025</v>
      </c>
      <c r="K610" t="s">
        <v>2035</v>
      </c>
    </row>
    <row r="611" spans="1:11" x14ac:dyDescent="0.3">
      <c r="A611" s="6" t="s">
        <v>620</v>
      </c>
      <c r="B611" t="s">
        <v>1619</v>
      </c>
      <c r="C611" t="s">
        <v>2008</v>
      </c>
      <c r="D611">
        <v>18</v>
      </c>
      <c r="E611" t="s">
        <v>2012</v>
      </c>
      <c r="F611" t="s">
        <v>2014</v>
      </c>
      <c r="G611" t="s">
        <v>2022</v>
      </c>
      <c r="H611" t="s">
        <v>2023</v>
      </c>
      <c r="I611">
        <v>45</v>
      </c>
      <c r="J611" t="s">
        <v>2025</v>
      </c>
      <c r="K611" t="s">
        <v>2036</v>
      </c>
    </row>
    <row r="612" spans="1:11" x14ac:dyDescent="0.3">
      <c r="A612" s="6" t="s">
        <v>621</v>
      </c>
      <c r="B612" t="s">
        <v>1620</v>
      </c>
      <c r="C612" t="s">
        <v>2008</v>
      </c>
      <c r="D612">
        <v>17</v>
      </c>
      <c r="E612" t="s">
        <v>2010</v>
      </c>
      <c r="F612" t="s">
        <v>2016</v>
      </c>
      <c r="G612" t="s">
        <v>2022</v>
      </c>
      <c r="H612" t="s">
        <v>2023</v>
      </c>
      <c r="I612">
        <v>89</v>
      </c>
      <c r="J612" t="s">
        <v>2030</v>
      </c>
      <c r="K612" t="s">
        <v>2035</v>
      </c>
    </row>
    <row r="613" spans="1:11" x14ac:dyDescent="0.3">
      <c r="A613" s="6" t="s">
        <v>622</v>
      </c>
      <c r="B613" t="s">
        <v>1621</v>
      </c>
      <c r="C613" t="s">
        <v>2008</v>
      </c>
      <c r="D613">
        <v>16</v>
      </c>
      <c r="E613" t="s">
        <v>2009</v>
      </c>
      <c r="F613" t="s">
        <v>2015</v>
      </c>
      <c r="G613" t="s">
        <v>2019</v>
      </c>
      <c r="H613" t="s">
        <v>2023</v>
      </c>
      <c r="I613">
        <v>28</v>
      </c>
      <c r="J613" t="s">
        <v>2027</v>
      </c>
      <c r="K613" t="s">
        <v>2036</v>
      </c>
    </row>
    <row r="614" spans="1:11" x14ac:dyDescent="0.3">
      <c r="A614" s="6" t="s">
        <v>623</v>
      </c>
      <c r="B614" t="s">
        <v>1622</v>
      </c>
      <c r="C614" t="s">
        <v>2008</v>
      </c>
      <c r="D614">
        <v>15</v>
      </c>
      <c r="E614" t="s">
        <v>2009</v>
      </c>
      <c r="F614" t="s">
        <v>2015</v>
      </c>
      <c r="G614" t="s">
        <v>2019</v>
      </c>
      <c r="H614" t="s">
        <v>2024</v>
      </c>
      <c r="I614">
        <v>12</v>
      </c>
      <c r="J614" t="s">
        <v>2033</v>
      </c>
      <c r="K614" t="s">
        <v>2036</v>
      </c>
    </row>
    <row r="615" spans="1:11" x14ac:dyDescent="0.3">
      <c r="A615" s="6" t="s">
        <v>624</v>
      </c>
      <c r="B615" t="s">
        <v>1623</v>
      </c>
      <c r="C615" t="s">
        <v>2007</v>
      </c>
      <c r="D615">
        <v>15</v>
      </c>
      <c r="E615" t="s">
        <v>2012</v>
      </c>
      <c r="F615" t="s">
        <v>2014</v>
      </c>
      <c r="G615" t="s">
        <v>2022</v>
      </c>
      <c r="H615" t="s">
        <v>2023</v>
      </c>
      <c r="I615">
        <v>34</v>
      </c>
      <c r="J615" t="s">
        <v>2030</v>
      </c>
      <c r="K615" t="s">
        <v>2036</v>
      </c>
    </row>
    <row r="616" spans="1:11" x14ac:dyDescent="0.3">
      <c r="A616" s="6" t="s">
        <v>625</v>
      </c>
      <c r="B616" t="s">
        <v>1624</v>
      </c>
      <c r="C616" t="s">
        <v>2007</v>
      </c>
      <c r="D616">
        <v>17</v>
      </c>
      <c r="E616" t="s">
        <v>2009</v>
      </c>
      <c r="F616" t="s">
        <v>2016</v>
      </c>
      <c r="G616" t="s">
        <v>2019</v>
      </c>
      <c r="H616" t="s">
        <v>2024</v>
      </c>
      <c r="I616">
        <v>78</v>
      </c>
      <c r="J616" t="s">
        <v>2030</v>
      </c>
      <c r="K616" t="s">
        <v>2035</v>
      </c>
    </row>
    <row r="617" spans="1:11" x14ac:dyDescent="0.3">
      <c r="A617" s="6" t="s">
        <v>626</v>
      </c>
      <c r="B617" t="s">
        <v>1625</v>
      </c>
      <c r="C617" t="s">
        <v>2007</v>
      </c>
      <c r="D617">
        <v>15</v>
      </c>
      <c r="E617" t="s">
        <v>2009</v>
      </c>
      <c r="F617" t="s">
        <v>2017</v>
      </c>
      <c r="G617" t="s">
        <v>2020</v>
      </c>
      <c r="H617" t="s">
        <v>2023</v>
      </c>
      <c r="I617">
        <v>2</v>
      </c>
      <c r="J617" t="s">
        <v>2028</v>
      </c>
      <c r="K617" t="s">
        <v>2036</v>
      </c>
    </row>
    <row r="618" spans="1:11" x14ac:dyDescent="0.3">
      <c r="A618" s="6" t="s">
        <v>627</v>
      </c>
      <c r="B618" t="s">
        <v>1626</v>
      </c>
      <c r="C618" t="s">
        <v>2007</v>
      </c>
      <c r="D618">
        <v>18</v>
      </c>
      <c r="E618" t="s">
        <v>2012</v>
      </c>
      <c r="F618" t="s">
        <v>2015</v>
      </c>
      <c r="G618" t="s">
        <v>2022</v>
      </c>
      <c r="H618" t="s">
        <v>2024</v>
      </c>
      <c r="I618">
        <v>57</v>
      </c>
      <c r="J618" t="s">
        <v>2031</v>
      </c>
      <c r="K618" t="s">
        <v>2035</v>
      </c>
    </row>
    <row r="619" spans="1:11" x14ac:dyDescent="0.3">
      <c r="A619" s="6" t="s">
        <v>628</v>
      </c>
      <c r="B619" t="s">
        <v>1627</v>
      </c>
      <c r="C619" t="s">
        <v>2008</v>
      </c>
      <c r="D619">
        <v>15</v>
      </c>
      <c r="E619" t="s">
        <v>2009</v>
      </c>
      <c r="F619" t="s">
        <v>2014</v>
      </c>
      <c r="G619" t="s">
        <v>2021</v>
      </c>
      <c r="H619" t="s">
        <v>2023</v>
      </c>
      <c r="I619">
        <v>65</v>
      </c>
      <c r="J619" t="s">
        <v>2026</v>
      </c>
      <c r="K619" t="s">
        <v>2035</v>
      </c>
    </row>
    <row r="620" spans="1:11" x14ac:dyDescent="0.3">
      <c r="A620" s="6" t="s">
        <v>629</v>
      </c>
      <c r="B620" t="s">
        <v>1628</v>
      </c>
      <c r="C620" t="s">
        <v>2007</v>
      </c>
      <c r="D620">
        <v>14</v>
      </c>
      <c r="E620" t="s">
        <v>2012</v>
      </c>
      <c r="F620" t="s">
        <v>2016</v>
      </c>
      <c r="G620" t="s">
        <v>2019</v>
      </c>
      <c r="H620" t="s">
        <v>2023</v>
      </c>
      <c r="I620">
        <v>81</v>
      </c>
      <c r="J620" t="s">
        <v>2027</v>
      </c>
      <c r="K620" t="s">
        <v>2035</v>
      </c>
    </row>
    <row r="621" spans="1:11" x14ac:dyDescent="0.3">
      <c r="A621" s="6" t="s">
        <v>630</v>
      </c>
      <c r="B621" t="s">
        <v>1629</v>
      </c>
      <c r="C621" t="s">
        <v>2007</v>
      </c>
      <c r="D621">
        <v>17</v>
      </c>
      <c r="E621" t="s">
        <v>2012</v>
      </c>
      <c r="F621" t="s">
        <v>2014</v>
      </c>
      <c r="G621" t="s">
        <v>2022</v>
      </c>
      <c r="H621" t="s">
        <v>2024</v>
      </c>
      <c r="I621">
        <v>51</v>
      </c>
      <c r="J621" t="s">
        <v>2029</v>
      </c>
      <c r="K621" t="s">
        <v>2035</v>
      </c>
    </row>
    <row r="622" spans="1:11" x14ac:dyDescent="0.3">
      <c r="A622" s="6" t="s">
        <v>631</v>
      </c>
      <c r="B622" t="s">
        <v>1630</v>
      </c>
      <c r="C622" t="s">
        <v>2007</v>
      </c>
      <c r="D622">
        <v>15</v>
      </c>
      <c r="E622" t="s">
        <v>2013</v>
      </c>
      <c r="F622" t="s">
        <v>2014</v>
      </c>
      <c r="G622" t="s">
        <v>2018</v>
      </c>
      <c r="H622" t="s">
        <v>2024</v>
      </c>
      <c r="I622">
        <v>27</v>
      </c>
      <c r="J622" t="s">
        <v>2032</v>
      </c>
      <c r="K622" t="s">
        <v>2036</v>
      </c>
    </row>
    <row r="623" spans="1:11" x14ac:dyDescent="0.3">
      <c r="A623" s="6" t="s">
        <v>632</v>
      </c>
      <c r="B623" t="s">
        <v>1631</v>
      </c>
      <c r="C623" t="s">
        <v>2007</v>
      </c>
      <c r="D623">
        <v>17</v>
      </c>
      <c r="E623" t="s">
        <v>2010</v>
      </c>
      <c r="F623" t="s">
        <v>2014</v>
      </c>
      <c r="G623" t="s">
        <v>2019</v>
      </c>
      <c r="H623" t="s">
        <v>2024</v>
      </c>
      <c r="I623">
        <v>90</v>
      </c>
      <c r="J623" t="s">
        <v>2032</v>
      </c>
      <c r="K623" t="s">
        <v>2035</v>
      </c>
    </row>
    <row r="624" spans="1:11" x14ac:dyDescent="0.3">
      <c r="A624" s="6" t="s">
        <v>633</v>
      </c>
      <c r="B624" t="s">
        <v>1632</v>
      </c>
      <c r="C624" t="s">
        <v>2008</v>
      </c>
      <c r="D624">
        <v>14</v>
      </c>
      <c r="E624" t="s">
        <v>2010</v>
      </c>
      <c r="F624" t="s">
        <v>2014</v>
      </c>
      <c r="G624" t="s">
        <v>2019</v>
      </c>
      <c r="H624" t="s">
        <v>2024</v>
      </c>
      <c r="I624">
        <v>19</v>
      </c>
      <c r="J624" t="s">
        <v>2032</v>
      </c>
      <c r="K624" t="s">
        <v>2036</v>
      </c>
    </row>
    <row r="625" spans="1:11" x14ac:dyDescent="0.3">
      <c r="A625" s="6" t="s">
        <v>634</v>
      </c>
      <c r="B625" t="s">
        <v>1633</v>
      </c>
      <c r="C625" t="s">
        <v>2007</v>
      </c>
      <c r="D625">
        <v>17</v>
      </c>
      <c r="E625" t="s">
        <v>2011</v>
      </c>
      <c r="F625" t="s">
        <v>2016</v>
      </c>
      <c r="G625" t="s">
        <v>2022</v>
      </c>
      <c r="H625" t="s">
        <v>2024</v>
      </c>
      <c r="I625">
        <v>92</v>
      </c>
      <c r="J625" t="s">
        <v>2031</v>
      </c>
      <c r="K625" t="s">
        <v>2035</v>
      </c>
    </row>
    <row r="626" spans="1:11" x14ac:dyDescent="0.3">
      <c r="A626" s="6" t="s">
        <v>635</v>
      </c>
      <c r="B626" t="s">
        <v>1634</v>
      </c>
      <c r="C626" t="s">
        <v>2007</v>
      </c>
      <c r="D626">
        <v>14</v>
      </c>
      <c r="E626" t="s">
        <v>2010</v>
      </c>
      <c r="F626" t="s">
        <v>2017</v>
      </c>
      <c r="G626" t="s">
        <v>2022</v>
      </c>
      <c r="H626" t="s">
        <v>2023</v>
      </c>
      <c r="I626">
        <v>22</v>
      </c>
      <c r="J626" t="s">
        <v>2026</v>
      </c>
      <c r="K626" t="s">
        <v>2036</v>
      </c>
    </row>
    <row r="627" spans="1:11" x14ac:dyDescent="0.3">
      <c r="A627" s="6" t="s">
        <v>636</v>
      </c>
      <c r="B627" t="s">
        <v>1635</v>
      </c>
      <c r="C627" t="s">
        <v>2007</v>
      </c>
      <c r="D627">
        <v>17</v>
      </c>
      <c r="E627" t="s">
        <v>2012</v>
      </c>
      <c r="F627" t="s">
        <v>2017</v>
      </c>
      <c r="G627" t="s">
        <v>2019</v>
      </c>
      <c r="H627" t="s">
        <v>2024</v>
      </c>
      <c r="I627">
        <v>36</v>
      </c>
      <c r="J627" t="s">
        <v>2031</v>
      </c>
      <c r="K627" t="s">
        <v>2036</v>
      </c>
    </row>
    <row r="628" spans="1:11" x14ac:dyDescent="0.3">
      <c r="A628" s="6" t="s">
        <v>637</v>
      </c>
      <c r="B628" t="s">
        <v>1636</v>
      </c>
      <c r="C628" t="s">
        <v>2008</v>
      </c>
      <c r="D628">
        <v>17</v>
      </c>
      <c r="E628" t="s">
        <v>2010</v>
      </c>
      <c r="F628" t="s">
        <v>2017</v>
      </c>
      <c r="G628" t="s">
        <v>2018</v>
      </c>
      <c r="H628" t="s">
        <v>2023</v>
      </c>
      <c r="I628">
        <v>37</v>
      </c>
      <c r="J628" t="s">
        <v>2033</v>
      </c>
      <c r="K628" t="s">
        <v>2036</v>
      </c>
    </row>
    <row r="629" spans="1:11" x14ac:dyDescent="0.3">
      <c r="A629" s="6" t="s">
        <v>638</v>
      </c>
      <c r="B629" t="s">
        <v>1637</v>
      </c>
      <c r="C629" t="s">
        <v>2007</v>
      </c>
      <c r="D629">
        <v>15</v>
      </c>
      <c r="E629" t="s">
        <v>2012</v>
      </c>
      <c r="F629" t="s">
        <v>2014</v>
      </c>
      <c r="G629" t="s">
        <v>2022</v>
      </c>
      <c r="H629" t="s">
        <v>2023</v>
      </c>
      <c r="I629">
        <v>48</v>
      </c>
      <c r="J629" t="s">
        <v>2033</v>
      </c>
      <c r="K629" t="s">
        <v>2036</v>
      </c>
    </row>
    <row r="630" spans="1:11" x14ac:dyDescent="0.3">
      <c r="A630" s="6" t="s">
        <v>639</v>
      </c>
      <c r="B630" t="s">
        <v>1638</v>
      </c>
      <c r="C630" t="s">
        <v>2007</v>
      </c>
      <c r="D630">
        <v>17</v>
      </c>
      <c r="E630" t="s">
        <v>2011</v>
      </c>
      <c r="F630" t="s">
        <v>2016</v>
      </c>
      <c r="G630" t="s">
        <v>2021</v>
      </c>
      <c r="H630" t="s">
        <v>2023</v>
      </c>
      <c r="I630">
        <v>30</v>
      </c>
      <c r="J630" t="s">
        <v>2027</v>
      </c>
      <c r="K630" t="s">
        <v>2036</v>
      </c>
    </row>
    <row r="631" spans="1:11" x14ac:dyDescent="0.3">
      <c r="A631" s="6" t="s">
        <v>640</v>
      </c>
      <c r="B631" t="s">
        <v>1639</v>
      </c>
      <c r="C631" t="s">
        <v>2007</v>
      </c>
      <c r="D631">
        <v>16</v>
      </c>
      <c r="E631" t="s">
        <v>2012</v>
      </c>
      <c r="F631" t="s">
        <v>2014</v>
      </c>
      <c r="G631" t="s">
        <v>2018</v>
      </c>
      <c r="H631" t="s">
        <v>2023</v>
      </c>
      <c r="I631">
        <v>97</v>
      </c>
      <c r="J631" t="s">
        <v>2025</v>
      </c>
      <c r="K631" t="s">
        <v>2035</v>
      </c>
    </row>
    <row r="632" spans="1:11" x14ac:dyDescent="0.3">
      <c r="A632" s="6" t="s">
        <v>641</v>
      </c>
      <c r="B632" t="s">
        <v>1640</v>
      </c>
      <c r="C632" t="s">
        <v>2007</v>
      </c>
      <c r="D632">
        <v>16</v>
      </c>
      <c r="E632" t="s">
        <v>2011</v>
      </c>
      <c r="F632" t="s">
        <v>2017</v>
      </c>
      <c r="G632" t="s">
        <v>2021</v>
      </c>
      <c r="H632" t="s">
        <v>2024</v>
      </c>
      <c r="I632">
        <v>92</v>
      </c>
      <c r="J632" t="s">
        <v>2026</v>
      </c>
      <c r="K632" t="s">
        <v>2035</v>
      </c>
    </row>
    <row r="633" spans="1:11" x14ac:dyDescent="0.3">
      <c r="A633" s="6" t="s">
        <v>642</v>
      </c>
      <c r="B633" t="s">
        <v>1641</v>
      </c>
      <c r="C633" t="s">
        <v>2008</v>
      </c>
      <c r="D633">
        <v>14</v>
      </c>
      <c r="E633" t="s">
        <v>2013</v>
      </c>
      <c r="F633" t="s">
        <v>2016</v>
      </c>
      <c r="G633" t="s">
        <v>2019</v>
      </c>
      <c r="H633" t="s">
        <v>2024</v>
      </c>
      <c r="I633">
        <v>21</v>
      </c>
      <c r="J633" t="s">
        <v>2031</v>
      </c>
      <c r="K633" t="s">
        <v>2036</v>
      </c>
    </row>
    <row r="634" spans="1:11" x14ac:dyDescent="0.3">
      <c r="A634" s="6" t="s">
        <v>643</v>
      </c>
      <c r="B634" t="s">
        <v>1642</v>
      </c>
      <c r="C634" t="s">
        <v>2008</v>
      </c>
      <c r="D634">
        <v>16</v>
      </c>
      <c r="E634" t="s">
        <v>2011</v>
      </c>
      <c r="F634" t="s">
        <v>2016</v>
      </c>
      <c r="G634" t="s">
        <v>2019</v>
      </c>
      <c r="H634" t="s">
        <v>2023</v>
      </c>
      <c r="I634">
        <v>54</v>
      </c>
      <c r="J634" t="s">
        <v>2034</v>
      </c>
      <c r="K634" t="s">
        <v>2035</v>
      </c>
    </row>
    <row r="635" spans="1:11" x14ac:dyDescent="0.3">
      <c r="A635" s="6" t="s">
        <v>644</v>
      </c>
      <c r="B635" t="s">
        <v>1643</v>
      </c>
      <c r="C635" t="s">
        <v>2007</v>
      </c>
      <c r="D635">
        <v>14</v>
      </c>
      <c r="E635" t="s">
        <v>2010</v>
      </c>
      <c r="F635" t="s">
        <v>2017</v>
      </c>
      <c r="G635" t="s">
        <v>2020</v>
      </c>
      <c r="H635" t="s">
        <v>2023</v>
      </c>
      <c r="I635">
        <v>15</v>
      </c>
      <c r="J635" t="s">
        <v>2026</v>
      </c>
      <c r="K635" t="s">
        <v>2036</v>
      </c>
    </row>
    <row r="636" spans="1:11" x14ac:dyDescent="0.3">
      <c r="A636" s="6" t="s">
        <v>645</v>
      </c>
      <c r="B636" t="s">
        <v>1644</v>
      </c>
      <c r="C636" t="s">
        <v>2007</v>
      </c>
      <c r="D636">
        <v>14</v>
      </c>
      <c r="E636" t="s">
        <v>2013</v>
      </c>
      <c r="F636" t="s">
        <v>2015</v>
      </c>
      <c r="G636" t="s">
        <v>2018</v>
      </c>
      <c r="H636" t="s">
        <v>2023</v>
      </c>
      <c r="I636">
        <v>90</v>
      </c>
      <c r="J636" t="s">
        <v>2028</v>
      </c>
      <c r="K636" t="s">
        <v>2035</v>
      </c>
    </row>
    <row r="637" spans="1:11" x14ac:dyDescent="0.3">
      <c r="A637" s="6" t="s">
        <v>646</v>
      </c>
      <c r="B637" t="s">
        <v>1645</v>
      </c>
      <c r="C637" t="s">
        <v>2007</v>
      </c>
      <c r="D637">
        <v>17</v>
      </c>
      <c r="E637" t="s">
        <v>2010</v>
      </c>
      <c r="F637" t="s">
        <v>2017</v>
      </c>
      <c r="G637" t="s">
        <v>2021</v>
      </c>
      <c r="H637" t="s">
        <v>2024</v>
      </c>
      <c r="I637">
        <v>72</v>
      </c>
      <c r="J637" t="s">
        <v>2030</v>
      </c>
      <c r="K637" t="s">
        <v>2035</v>
      </c>
    </row>
    <row r="638" spans="1:11" x14ac:dyDescent="0.3">
      <c r="A638" s="6" t="s">
        <v>647</v>
      </c>
      <c r="B638" t="s">
        <v>1646</v>
      </c>
      <c r="C638" t="s">
        <v>2008</v>
      </c>
      <c r="D638">
        <v>16</v>
      </c>
      <c r="E638" t="s">
        <v>2012</v>
      </c>
      <c r="F638" t="s">
        <v>2014</v>
      </c>
      <c r="G638" t="s">
        <v>2021</v>
      </c>
      <c r="H638" t="s">
        <v>2023</v>
      </c>
      <c r="I638">
        <v>36</v>
      </c>
      <c r="J638" t="s">
        <v>2030</v>
      </c>
      <c r="K638" t="s">
        <v>2036</v>
      </c>
    </row>
    <row r="639" spans="1:11" x14ac:dyDescent="0.3">
      <c r="A639" s="6" t="s">
        <v>648</v>
      </c>
      <c r="B639" t="s">
        <v>1647</v>
      </c>
      <c r="C639" t="s">
        <v>2007</v>
      </c>
      <c r="D639">
        <v>18</v>
      </c>
      <c r="E639" t="s">
        <v>2013</v>
      </c>
      <c r="F639" t="s">
        <v>2016</v>
      </c>
      <c r="G639" t="s">
        <v>2021</v>
      </c>
      <c r="H639" t="s">
        <v>2024</v>
      </c>
      <c r="I639">
        <v>58</v>
      </c>
      <c r="J639" t="s">
        <v>2030</v>
      </c>
      <c r="K639" t="s">
        <v>2035</v>
      </c>
    </row>
    <row r="640" spans="1:11" x14ac:dyDescent="0.3">
      <c r="A640" s="6" t="s">
        <v>649</v>
      </c>
      <c r="B640" t="s">
        <v>1648</v>
      </c>
      <c r="C640" t="s">
        <v>2007</v>
      </c>
      <c r="D640">
        <v>17</v>
      </c>
      <c r="E640" t="s">
        <v>2012</v>
      </c>
      <c r="F640" t="s">
        <v>2014</v>
      </c>
      <c r="G640" t="s">
        <v>2018</v>
      </c>
      <c r="H640" t="s">
        <v>2023</v>
      </c>
      <c r="I640">
        <v>27</v>
      </c>
      <c r="J640" t="s">
        <v>2033</v>
      </c>
      <c r="K640" t="s">
        <v>2036</v>
      </c>
    </row>
    <row r="641" spans="1:11" x14ac:dyDescent="0.3">
      <c r="A641" s="6" t="s">
        <v>650</v>
      </c>
      <c r="B641" t="s">
        <v>1649</v>
      </c>
      <c r="C641" t="s">
        <v>2007</v>
      </c>
      <c r="D641">
        <v>14</v>
      </c>
      <c r="E641" t="s">
        <v>2010</v>
      </c>
      <c r="F641" t="s">
        <v>2014</v>
      </c>
      <c r="G641" t="s">
        <v>2018</v>
      </c>
      <c r="H641" t="s">
        <v>2023</v>
      </c>
      <c r="I641">
        <v>14</v>
      </c>
      <c r="J641" t="s">
        <v>2031</v>
      </c>
      <c r="K641" t="s">
        <v>2036</v>
      </c>
    </row>
    <row r="642" spans="1:11" x14ac:dyDescent="0.3">
      <c r="A642" s="6" t="s">
        <v>651</v>
      </c>
      <c r="B642" t="s">
        <v>1650</v>
      </c>
      <c r="C642" t="s">
        <v>2007</v>
      </c>
      <c r="D642">
        <v>17</v>
      </c>
      <c r="E642" t="s">
        <v>2010</v>
      </c>
      <c r="F642" t="s">
        <v>2015</v>
      </c>
      <c r="G642" t="s">
        <v>2020</v>
      </c>
      <c r="H642" t="s">
        <v>2024</v>
      </c>
      <c r="I642">
        <v>80</v>
      </c>
      <c r="J642" t="s">
        <v>2030</v>
      </c>
      <c r="K642" t="s">
        <v>2035</v>
      </c>
    </row>
    <row r="643" spans="1:11" x14ac:dyDescent="0.3">
      <c r="A643" s="6" t="s">
        <v>652</v>
      </c>
      <c r="B643" t="s">
        <v>1651</v>
      </c>
      <c r="C643" t="s">
        <v>2008</v>
      </c>
      <c r="D643">
        <v>17</v>
      </c>
      <c r="E643" t="s">
        <v>2012</v>
      </c>
      <c r="F643" t="s">
        <v>2015</v>
      </c>
      <c r="G643" t="s">
        <v>2019</v>
      </c>
      <c r="H643" t="s">
        <v>2023</v>
      </c>
      <c r="I643">
        <v>59</v>
      </c>
      <c r="J643" t="s">
        <v>2033</v>
      </c>
      <c r="K643" t="s">
        <v>2035</v>
      </c>
    </row>
    <row r="644" spans="1:11" x14ac:dyDescent="0.3">
      <c r="A644" s="6" t="s">
        <v>653</v>
      </c>
      <c r="B644" t="s">
        <v>1652</v>
      </c>
      <c r="C644" t="s">
        <v>2008</v>
      </c>
      <c r="D644">
        <v>15</v>
      </c>
      <c r="E644" t="s">
        <v>2012</v>
      </c>
      <c r="F644" t="s">
        <v>2017</v>
      </c>
      <c r="G644" t="s">
        <v>2019</v>
      </c>
      <c r="H644" t="s">
        <v>2024</v>
      </c>
      <c r="I644">
        <v>81</v>
      </c>
      <c r="J644" t="s">
        <v>2031</v>
      </c>
      <c r="K644" t="s">
        <v>2035</v>
      </c>
    </row>
    <row r="645" spans="1:11" x14ac:dyDescent="0.3">
      <c r="A645" s="6" t="s">
        <v>654</v>
      </c>
      <c r="B645" t="s">
        <v>1653</v>
      </c>
      <c r="C645" t="s">
        <v>2007</v>
      </c>
      <c r="D645">
        <v>18</v>
      </c>
      <c r="E645" t="s">
        <v>2009</v>
      </c>
      <c r="F645" t="s">
        <v>2017</v>
      </c>
      <c r="G645" t="s">
        <v>2022</v>
      </c>
      <c r="H645" t="s">
        <v>2024</v>
      </c>
      <c r="I645">
        <v>24</v>
      </c>
      <c r="J645" t="s">
        <v>2030</v>
      </c>
      <c r="K645" t="s">
        <v>2036</v>
      </c>
    </row>
    <row r="646" spans="1:11" x14ac:dyDescent="0.3">
      <c r="A646" s="6" t="s">
        <v>655</v>
      </c>
      <c r="B646" t="s">
        <v>1654</v>
      </c>
      <c r="C646" t="s">
        <v>2007</v>
      </c>
      <c r="D646">
        <v>14</v>
      </c>
      <c r="E646" t="s">
        <v>2012</v>
      </c>
      <c r="F646" t="s">
        <v>2014</v>
      </c>
      <c r="G646" t="s">
        <v>2020</v>
      </c>
      <c r="H646" t="s">
        <v>2023</v>
      </c>
      <c r="I646">
        <v>10</v>
      </c>
      <c r="J646" t="s">
        <v>2028</v>
      </c>
      <c r="K646" t="s">
        <v>2036</v>
      </c>
    </row>
    <row r="647" spans="1:11" x14ac:dyDescent="0.3">
      <c r="A647" s="6" t="s">
        <v>656</v>
      </c>
      <c r="B647" t="s">
        <v>1655</v>
      </c>
      <c r="C647" t="s">
        <v>2008</v>
      </c>
      <c r="D647">
        <v>18</v>
      </c>
      <c r="E647" t="s">
        <v>2013</v>
      </c>
      <c r="F647" t="s">
        <v>2017</v>
      </c>
      <c r="G647" t="s">
        <v>2019</v>
      </c>
      <c r="H647" t="s">
        <v>2024</v>
      </c>
      <c r="I647">
        <v>97</v>
      </c>
      <c r="J647" t="s">
        <v>2028</v>
      </c>
      <c r="K647" t="s">
        <v>2035</v>
      </c>
    </row>
    <row r="648" spans="1:11" x14ac:dyDescent="0.3">
      <c r="A648" s="6" t="s">
        <v>657</v>
      </c>
      <c r="B648" t="s">
        <v>1656</v>
      </c>
      <c r="C648" t="s">
        <v>2007</v>
      </c>
      <c r="D648">
        <v>16</v>
      </c>
      <c r="E648" t="s">
        <v>2013</v>
      </c>
      <c r="F648" t="s">
        <v>2016</v>
      </c>
      <c r="G648" t="s">
        <v>2020</v>
      </c>
      <c r="H648" t="s">
        <v>2024</v>
      </c>
      <c r="I648">
        <v>2</v>
      </c>
      <c r="J648" t="s">
        <v>2029</v>
      </c>
      <c r="K648" t="s">
        <v>2036</v>
      </c>
    </row>
    <row r="649" spans="1:11" x14ac:dyDescent="0.3">
      <c r="A649" s="6" t="s">
        <v>658</v>
      </c>
      <c r="B649" t="s">
        <v>1657</v>
      </c>
      <c r="C649" t="s">
        <v>2008</v>
      </c>
      <c r="D649">
        <v>18</v>
      </c>
      <c r="E649" t="s">
        <v>2013</v>
      </c>
      <c r="F649" t="s">
        <v>2014</v>
      </c>
      <c r="G649" t="s">
        <v>2019</v>
      </c>
      <c r="H649" t="s">
        <v>2023</v>
      </c>
      <c r="I649">
        <v>21</v>
      </c>
      <c r="J649" t="s">
        <v>2033</v>
      </c>
      <c r="K649" t="s">
        <v>2036</v>
      </c>
    </row>
    <row r="650" spans="1:11" x14ac:dyDescent="0.3">
      <c r="A650" s="6" t="s">
        <v>659</v>
      </c>
      <c r="B650" t="s">
        <v>1658</v>
      </c>
      <c r="C650" t="s">
        <v>2008</v>
      </c>
      <c r="D650">
        <v>18</v>
      </c>
      <c r="E650" t="s">
        <v>2013</v>
      </c>
      <c r="F650" t="s">
        <v>2015</v>
      </c>
      <c r="G650" t="s">
        <v>2021</v>
      </c>
      <c r="H650" t="s">
        <v>2024</v>
      </c>
      <c r="I650">
        <v>100</v>
      </c>
      <c r="J650" t="s">
        <v>2025</v>
      </c>
      <c r="K650" t="s">
        <v>2035</v>
      </c>
    </row>
    <row r="651" spans="1:11" x14ac:dyDescent="0.3">
      <c r="A651" s="6" t="s">
        <v>660</v>
      </c>
      <c r="B651" t="s">
        <v>1659</v>
      </c>
      <c r="C651" t="s">
        <v>2007</v>
      </c>
      <c r="D651">
        <v>17</v>
      </c>
      <c r="E651" t="s">
        <v>2010</v>
      </c>
      <c r="F651" t="s">
        <v>2017</v>
      </c>
      <c r="G651" t="s">
        <v>2018</v>
      </c>
      <c r="H651" t="s">
        <v>2023</v>
      </c>
      <c r="I651">
        <v>13</v>
      </c>
      <c r="J651" t="s">
        <v>2028</v>
      </c>
      <c r="K651" t="s">
        <v>2036</v>
      </c>
    </row>
    <row r="652" spans="1:11" x14ac:dyDescent="0.3">
      <c r="A652" s="6" t="s">
        <v>661</v>
      </c>
      <c r="B652" t="s">
        <v>1660</v>
      </c>
      <c r="C652" t="s">
        <v>2008</v>
      </c>
      <c r="D652">
        <v>17</v>
      </c>
      <c r="E652" t="s">
        <v>2011</v>
      </c>
      <c r="F652" t="s">
        <v>2015</v>
      </c>
      <c r="G652" t="s">
        <v>2021</v>
      </c>
      <c r="H652" t="s">
        <v>2024</v>
      </c>
      <c r="I652">
        <v>66</v>
      </c>
      <c r="J652" t="s">
        <v>2026</v>
      </c>
      <c r="K652" t="s">
        <v>2035</v>
      </c>
    </row>
    <row r="653" spans="1:11" x14ac:dyDescent="0.3">
      <c r="A653" s="6" t="s">
        <v>662</v>
      </c>
      <c r="B653" t="s">
        <v>1661</v>
      </c>
      <c r="C653" t="s">
        <v>2008</v>
      </c>
      <c r="D653">
        <v>17</v>
      </c>
      <c r="E653" t="s">
        <v>2010</v>
      </c>
      <c r="F653" t="s">
        <v>2017</v>
      </c>
      <c r="G653" t="s">
        <v>2020</v>
      </c>
      <c r="H653" t="s">
        <v>2024</v>
      </c>
      <c r="I653">
        <v>98</v>
      </c>
      <c r="J653" t="s">
        <v>2025</v>
      </c>
      <c r="K653" t="s">
        <v>2035</v>
      </c>
    </row>
    <row r="654" spans="1:11" x14ac:dyDescent="0.3">
      <c r="A654" s="6" t="s">
        <v>663</v>
      </c>
      <c r="B654" t="s">
        <v>1662</v>
      </c>
      <c r="C654" t="s">
        <v>2007</v>
      </c>
      <c r="D654">
        <v>18</v>
      </c>
      <c r="E654" t="s">
        <v>2011</v>
      </c>
      <c r="F654" t="s">
        <v>2017</v>
      </c>
      <c r="G654" t="s">
        <v>2022</v>
      </c>
      <c r="H654" t="s">
        <v>2023</v>
      </c>
      <c r="I654">
        <v>92</v>
      </c>
      <c r="J654" t="s">
        <v>2031</v>
      </c>
      <c r="K654" t="s">
        <v>2035</v>
      </c>
    </row>
    <row r="655" spans="1:11" x14ac:dyDescent="0.3">
      <c r="A655" s="6" t="s">
        <v>664</v>
      </c>
      <c r="B655" t="s">
        <v>1663</v>
      </c>
      <c r="C655" t="s">
        <v>2007</v>
      </c>
      <c r="D655">
        <v>14</v>
      </c>
      <c r="E655" t="s">
        <v>2010</v>
      </c>
      <c r="F655" t="s">
        <v>2015</v>
      </c>
      <c r="G655" t="s">
        <v>2021</v>
      </c>
      <c r="H655" t="s">
        <v>2024</v>
      </c>
      <c r="I655">
        <v>70</v>
      </c>
      <c r="J655" t="s">
        <v>2025</v>
      </c>
      <c r="K655" t="s">
        <v>2035</v>
      </c>
    </row>
    <row r="656" spans="1:11" x14ac:dyDescent="0.3">
      <c r="A656" s="6" t="s">
        <v>665</v>
      </c>
      <c r="B656" t="s">
        <v>1664</v>
      </c>
      <c r="C656" t="s">
        <v>2008</v>
      </c>
      <c r="D656">
        <v>17</v>
      </c>
      <c r="E656" t="s">
        <v>2012</v>
      </c>
      <c r="F656" t="s">
        <v>2015</v>
      </c>
      <c r="G656" t="s">
        <v>2022</v>
      </c>
      <c r="H656" t="s">
        <v>2023</v>
      </c>
      <c r="I656">
        <v>76</v>
      </c>
      <c r="J656" t="s">
        <v>2028</v>
      </c>
      <c r="K656" t="s">
        <v>2035</v>
      </c>
    </row>
    <row r="657" spans="1:11" x14ac:dyDescent="0.3">
      <c r="A657" s="6" t="s">
        <v>666</v>
      </c>
      <c r="B657" t="s">
        <v>1665</v>
      </c>
      <c r="C657" t="s">
        <v>2008</v>
      </c>
      <c r="D657">
        <v>18</v>
      </c>
      <c r="E657" t="s">
        <v>2010</v>
      </c>
      <c r="F657" t="s">
        <v>2016</v>
      </c>
      <c r="G657" t="s">
        <v>2021</v>
      </c>
      <c r="H657" t="s">
        <v>2024</v>
      </c>
      <c r="I657">
        <v>20</v>
      </c>
      <c r="J657" t="s">
        <v>2025</v>
      </c>
      <c r="K657" t="s">
        <v>2036</v>
      </c>
    </row>
    <row r="658" spans="1:11" x14ac:dyDescent="0.3">
      <c r="A658" s="6" t="s">
        <v>667</v>
      </c>
      <c r="B658" t="s">
        <v>1199</v>
      </c>
      <c r="C658" t="s">
        <v>2008</v>
      </c>
      <c r="D658">
        <v>15</v>
      </c>
      <c r="E658" t="s">
        <v>2012</v>
      </c>
      <c r="F658" t="s">
        <v>2016</v>
      </c>
      <c r="G658" t="s">
        <v>2020</v>
      </c>
      <c r="H658" t="s">
        <v>2023</v>
      </c>
      <c r="I658">
        <v>94</v>
      </c>
      <c r="J658" t="s">
        <v>2031</v>
      </c>
      <c r="K658" t="s">
        <v>2035</v>
      </c>
    </row>
    <row r="659" spans="1:11" x14ac:dyDescent="0.3">
      <c r="A659" s="6" t="s">
        <v>668</v>
      </c>
      <c r="B659" t="s">
        <v>1666</v>
      </c>
      <c r="C659" t="s">
        <v>2008</v>
      </c>
      <c r="D659">
        <v>16</v>
      </c>
      <c r="E659" t="s">
        <v>2013</v>
      </c>
      <c r="F659" t="s">
        <v>2014</v>
      </c>
      <c r="G659" t="s">
        <v>2018</v>
      </c>
      <c r="H659" t="s">
        <v>2023</v>
      </c>
      <c r="I659">
        <v>98</v>
      </c>
      <c r="J659" t="s">
        <v>2029</v>
      </c>
      <c r="K659" t="s">
        <v>2035</v>
      </c>
    </row>
    <row r="660" spans="1:11" x14ac:dyDescent="0.3">
      <c r="A660" s="6" t="s">
        <v>669</v>
      </c>
      <c r="B660" t="s">
        <v>1667</v>
      </c>
      <c r="C660" t="s">
        <v>2007</v>
      </c>
      <c r="D660">
        <v>17</v>
      </c>
      <c r="E660" t="s">
        <v>2013</v>
      </c>
      <c r="F660" t="s">
        <v>2015</v>
      </c>
      <c r="G660" t="s">
        <v>2018</v>
      </c>
      <c r="H660" t="s">
        <v>2024</v>
      </c>
      <c r="I660">
        <v>11</v>
      </c>
      <c r="J660" t="s">
        <v>2032</v>
      </c>
      <c r="K660" t="s">
        <v>2036</v>
      </c>
    </row>
    <row r="661" spans="1:11" x14ac:dyDescent="0.3">
      <c r="A661" s="6" t="s">
        <v>670</v>
      </c>
      <c r="B661" t="s">
        <v>1668</v>
      </c>
      <c r="C661" t="s">
        <v>2008</v>
      </c>
      <c r="D661">
        <v>14</v>
      </c>
      <c r="E661" t="s">
        <v>2009</v>
      </c>
      <c r="F661" t="s">
        <v>2015</v>
      </c>
      <c r="G661" t="s">
        <v>2019</v>
      </c>
      <c r="H661" t="s">
        <v>2024</v>
      </c>
      <c r="I661">
        <v>59</v>
      </c>
      <c r="J661" t="s">
        <v>2029</v>
      </c>
      <c r="K661" t="s">
        <v>2035</v>
      </c>
    </row>
    <row r="662" spans="1:11" x14ac:dyDescent="0.3">
      <c r="A662" s="6" t="s">
        <v>671</v>
      </c>
      <c r="B662" t="s">
        <v>1669</v>
      </c>
      <c r="C662" t="s">
        <v>2007</v>
      </c>
      <c r="D662">
        <v>18</v>
      </c>
      <c r="E662" t="s">
        <v>2010</v>
      </c>
      <c r="F662" t="s">
        <v>2015</v>
      </c>
      <c r="G662" t="s">
        <v>2019</v>
      </c>
      <c r="H662" t="s">
        <v>2023</v>
      </c>
      <c r="I662">
        <v>94</v>
      </c>
      <c r="J662" t="s">
        <v>2031</v>
      </c>
      <c r="K662" t="s">
        <v>2035</v>
      </c>
    </row>
    <row r="663" spans="1:11" x14ac:dyDescent="0.3">
      <c r="A663" s="6" t="s">
        <v>672</v>
      </c>
      <c r="B663" t="s">
        <v>1670</v>
      </c>
      <c r="C663" t="s">
        <v>2008</v>
      </c>
      <c r="D663">
        <v>17</v>
      </c>
      <c r="E663" t="s">
        <v>2010</v>
      </c>
      <c r="F663" t="s">
        <v>2015</v>
      </c>
      <c r="G663" t="s">
        <v>2021</v>
      </c>
      <c r="H663" t="s">
        <v>2024</v>
      </c>
      <c r="I663">
        <v>29</v>
      </c>
      <c r="J663" t="s">
        <v>2032</v>
      </c>
      <c r="K663" t="s">
        <v>2036</v>
      </c>
    </row>
    <row r="664" spans="1:11" x14ac:dyDescent="0.3">
      <c r="A664" s="6" t="s">
        <v>673</v>
      </c>
      <c r="B664" t="s">
        <v>1671</v>
      </c>
      <c r="C664" t="s">
        <v>2008</v>
      </c>
      <c r="D664">
        <v>14</v>
      </c>
      <c r="E664" t="s">
        <v>2011</v>
      </c>
      <c r="F664" t="s">
        <v>2015</v>
      </c>
      <c r="G664" t="s">
        <v>2018</v>
      </c>
      <c r="H664" t="s">
        <v>2024</v>
      </c>
      <c r="I664">
        <v>79</v>
      </c>
      <c r="J664" t="s">
        <v>2029</v>
      </c>
      <c r="K664" t="s">
        <v>2035</v>
      </c>
    </row>
    <row r="665" spans="1:11" x14ac:dyDescent="0.3">
      <c r="A665" s="6" t="s">
        <v>674</v>
      </c>
      <c r="B665" t="s">
        <v>1672</v>
      </c>
      <c r="C665" t="s">
        <v>2008</v>
      </c>
      <c r="D665">
        <v>14</v>
      </c>
      <c r="E665" t="s">
        <v>2009</v>
      </c>
      <c r="F665" t="s">
        <v>2017</v>
      </c>
      <c r="G665" t="s">
        <v>2021</v>
      </c>
      <c r="H665" t="s">
        <v>2024</v>
      </c>
      <c r="I665">
        <v>19</v>
      </c>
      <c r="J665" t="s">
        <v>2030</v>
      </c>
      <c r="K665" t="s">
        <v>2036</v>
      </c>
    </row>
    <row r="666" spans="1:11" x14ac:dyDescent="0.3">
      <c r="A666" s="6" t="s">
        <v>675</v>
      </c>
      <c r="B666" t="s">
        <v>1673</v>
      </c>
      <c r="C666" t="s">
        <v>2008</v>
      </c>
      <c r="D666">
        <v>16</v>
      </c>
      <c r="E666" t="s">
        <v>2010</v>
      </c>
      <c r="F666" t="s">
        <v>2016</v>
      </c>
      <c r="G666" t="s">
        <v>2021</v>
      </c>
      <c r="H666" t="s">
        <v>2023</v>
      </c>
      <c r="I666">
        <v>5</v>
      </c>
      <c r="J666" t="s">
        <v>2031</v>
      </c>
      <c r="K666" t="s">
        <v>2036</v>
      </c>
    </row>
    <row r="667" spans="1:11" x14ac:dyDescent="0.3">
      <c r="A667" s="6" t="s">
        <v>676</v>
      </c>
      <c r="B667" t="s">
        <v>1674</v>
      </c>
      <c r="C667" t="s">
        <v>2007</v>
      </c>
      <c r="D667">
        <v>15</v>
      </c>
      <c r="E667" t="s">
        <v>2011</v>
      </c>
      <c r="F667" t="s">
        <v>2015</v>
      </c>
      <c r="G667" t="s">
        <v>2018</v>
      </c>
      <c r="H667" t="s">
        <v>2024</v>
      </c>
      <c r="I667">
        <v>23</v>
      </c>
      <c r="J667" t="s">
        <v>2028</v>
      </c>
      <c r="K667" t="s">
        <v>2036</v>
      </c>
    </row>
    <row r="668" spans="1:11" x14ac:dyDescent="0.3">
      <c r="A668" s="6" t="s">
        <v>677</v>
      </c>
      <c r="B668" t="s">
        <v>1675</v>
      </c>
      <c r="C668" t="s">
        <v>2008</v>
      </c>
      <c r="D668">
        <v>14</v>
      </c>
      <c r="E668" t="s">
        <v>2009</v>
      </c>
      <c r="F668" t="s">
        <v>2016</v>
      </c>
      <c r="G668" t="s">
        <v>2022</v>
      </c>
      <c r="H668" t="s">
        <v>2024</v>
      </c>
      <c r="I668">
        <v>22</v>
      </c>
      <c r="J668" t="s">
        <v>2028</v>
      </c>
      <c r="K668" t="s">
        <v>2036</v>
      </c>
    </row>
    <row r="669" spans="1:11" x14ac:dyDescent="0.3">
      <c r="A669" s="6" t="s">
        <v>678</v>
      </c>
      <c r="B669" t="s">
        <v>1676</v>
      </c>
      <c r="C669" t="s">
        <v>2008</v>
      </c>
      <c r="D669">
        <v>16</v>
      </c>
      <c r="E669" t="s">
        <v>2009</v>
      </c>
      <c r="F669" t="s">
        <v>2016</v>
      </c>
      <c r="G669" t="s">
        <v>2020</v>
      </c>
      <c r="H669" t="s">
        <v>2024</v>
      </c>
      <c r="I669">
        <v>99</v>
      </c>
      <c r="J669" t="s">
        <v>2026</v>
      </c>
      <c r="K669" t="s">
        <v>2035</v>
      </c>
    </row>
    <row r="670" spans="1:11" x14ac:dyDescent="0.3">
      <c r="A670" s="6" t="s">
        <v>679</v>
      </c>
      <c r="B670" t="s">
        <v>1677</v>
      </c>
      <c r="C670" t="s">
        <v>2007</v>
      </c>
      <c r="D670">
        <v>14</v>
      </c>
      <c r="E670" t="s">
        <v>2009</v>
      </c>
      <c r="F670" t="s">
        <v>2017</v>
      </c>
      <c r="G670" t="s">
        <v>2022</v>
      </c>
      <c r="H670" t="s">
        <v>2023</v>
      </c>
      <c r="I670">
        <v>32</v>
      </c>
      <c r="J670" t="s">
        <v>2028</v>
      </c>
      <c r="K670" t="s">
        <v>2036</v>
      </c>
    </row>
    <row r="671" spans="1:11" x14ac:dyDescent="0.3">
      <c r="A671" s="6" t="s">
        <v>680</v>
      </c>
      <c r="B671" t="s">
        <v>1678</v>
      </c>
      <c r="C671" t="s">
        <v>2008</v>
      </c>
      <c r="D671">
        <v>18</v>
      </c>
      <c r="E671" t="s">
        <v>2010</v>
      </c>
      <c r="F671" t="s">
        <v>2017</v>
      </c>
      <c r="G671" t="s">
        <v>2018</v>
      </c>
      <c r="H671" t="s">
        <v>2024</v>
      </c>
      <c r="I671">
        <v>70</v>
      </c>
      <c r="J671" t="s">
        <v>2034</v>
      </c>
      <c r="K671" t="s">
        <v>2035</v>
      </c>
    </row>
    <row r="672" spans="1:11" x14ac:dyDescent="0.3">
      <c r="A672" s="6" t="s">
        <v>681</v>
      </c>
      <c r="B672" t="s">
        <v>1679</v>
      </c>
      <c r="C672" t="s">
        <v>2008</v>
      </c>
      <c r="D672">
        <v>16</v>
      </c>
      <c r="E672" t="s">
        <v>2011</v>
      </c>
      <c r="F672" t="s">
        <v>2014</v>
      </c>
      <c r="G672" t="s">
        <v>2018</v>
      </c>
      <c r="H672" t="s">
        <v>2024</v>
      </c>
      <c r="I672">
        <v>12</v>
      </c>
      <c r="J672" t="s">
        <v>2031</v>
      </c>
      <c r="K672" t="s">
        <v>2036</v>
      </c>
    </row>
    <row r="673" spans="1:11" x14ac:dyDescent="0.3">
      <c r="A673" s="6" t="s">
        <v>682</v>
      </c>
      <c r="B673" t="s">
        <v>1680</v>
      </c>
      <c r="C673" t="s">
        <v>2008</v>
      </c>
      <c r="D673">
        <v>15</v>
      </c>
      <c r="E673" t="s">
        <v>2013</v>
      </c>
      <c r="F673" t="s">
        <v>2016</v>
      </c>
      <c r="G673" t="s">
        <v>2022</v>
      </c>
      <c r="H673" t="s">
        <v>2023</v>
      </c>
      <c r="I673">
        <v>99</v>
      </c>
      <c r="J673" t="s">
        <v>2033</v>
      </c>
      <c r="K673" t="s">
        <v>2035</v>
      </c>
    </row>
    <row r="674" spans="1:11" x14ac:dyDescent="0.3">
      <c r="A674" s="6" t="s">
        <v>683</v>
      </c>
      <c r="B674" t="s">
        <v>1681</v>
      </c>
      <c r="C674" t="s">
        <v>2007</v>
      </c>
      <c r="D674">
        <v>14</v>
      </c>
      <c r="E674" t="s">
        <v>2009</v>
      </c>
      <c r="F674" t="s">
        <v>2016</v>
      </c>
      <c r="G674" t="s">
        <v>2021</v>
      </c>
      <c r="H674" t="s">
        <v>2024</v>
      </c>
      <c r="I674">
        <v>96</v>
      </c>
      <c r="J674" t="s">
        <v>2034</v>
      </c>
      <c r="K674" t="s">
        <v>2035</v>
      </c>
    </row>
    <row r="675" spans="1:11" x14ac:dyDescent="0.3">
      <c r="A675" s="6" t="s">
        <v>684</v>
      </c>
      <c r="B675" t="s">
        <v>1682</v>
      </c>
      <c r="C675" t="s">
        <v>2007</v>
      </c>
      <c r="D675">
        <v>18</v>
      </c>
      <c r="E675" t="s">
        <v>2011</v>
      </c>
      <c r="F675" t="s">
        <v>2017</v>
      </c>
      <c r="G675" t="s">
        <v>2018</v>
      </c>
      <c r="H675" t="s">
        <v>2023</v>
      </c>
      <c r="I675">
        <v>100</v>
      </c>
      <c r="J675" t="s">
        <v>2030</v>
      </c>
      <c r="K675" t="s">
        <v>2035</v>
      </c>
    </row>
    <row r="676" spans="1:11" x14ac:dyDescent="0.3">
      <c r="A676" s="6" t="s">
        <v>685</v>
      </c>
      <c r="B676" t="s">
        <v>1683</v>
      </c>
      <c r="C676" t="s">
        <v>2007</v>
      </c>
      <c r="D676">
        <v>14</v>
      </c>
      <c r="E676" t="s">
        <v>2013</v>
      </c>
      <c r="F676" t="s">
        <v>2016</v>
      </c>
      <c r="G676" t="s">
        <v>2018</v>
      </c>
      <c r="H676" t="s">
        <v>2023</v>
      </c>
      <c r="I676">
        <v>51</v>
      </c>
      <c r="J676" t="s">
        <v>2030</v>
      </c>
      <c r="K676" t="s">
        <v>2035</v>
      </c>
    </row>
    <row r="677" spans="1:11" x14ac:dyDescent="0.3">
      <c r="A677" s="6" t="s">
        <v>686</v>
      </c>
      <c r="B677" t="s">
        <v>1684</v>
      </c>
      <c r="C677" t="s">
        <v>2008</v>
      </c>
      <c r="D677">
        <v>16</v>
      </c>
      <c r="E677" t="s">
        <v>2009</v>
      </c>
      <c r="F677" t="s">
        <v>2016</v>
      </c>
      <c r="G677" t="s">
        <v>2020</v>
      </c>
      <c r="H677" t="s">
        <v>2024</v>
      </c>
      <c r="I677">
        <v>58</v>
      </c>
      <c r="J677" t="s">
        <v>2025</v>
      </c>
      <c r="K677" t="s">
        <v>2035</v>
      </c>
    </row>
    <row r="678" spans="1:11" x14ac:dyDescent="0.3">
      <c r="A678" s="6" t="s">
        <v>687</v>
      </c>
      <c r="B678" t="s">
        <v>1685</v>
      </c>
      <c r="C678" t="s">
        <v>2008</v>
      </c>
      <c r="D678">
        <v>17</v>
      </c>
      <c r="E678" t="s">
        <v>2012</v>
      </c>
      <c r="F678" t="s">
        <v>2015</v>
      </c>
      <c r="G678" t="s">
        <v>2020</v>
      </c>
      <c r="H678" t="s">
        <v>2023</v>
      </c>
      <c r="I678">
        <v>20</v>
      </c>
      <c r="J678" t="s">
        <v>2025</v>
      </c>
      <c r="K678" t="s">
        <v>2036</v>
      </c>
    </row>
    <row r="679" spans="1:11" x14ac:dyDescent="0.3">
      <c r="A679" s="6" t="s">
        <v>688</v>
      </c>
      <c r="B679" t="s">
        <v>1686</v>
      </c>
      <c r="C679" t="s">
        <v>2008</v>
      </c>
      <c r="D679">
        <v>18</v>
      </c>
      <c r="E679" t="s">
        <v>2011</v>
      </c>
      <c r="F679" t="s">
        <v>2015</v>
      </c>
      <c r="G679" t="s">
        <v>2019</v>
      </c>
      <c r="H679" t="s">
        <v>2024</v>
      </c>
      <c r="I679">
        <v>100</v>
      </c>
      <c r="J679" t="s">
        <v>2031</v>
      </c>
      <c r="K679" t="s">
        <v>2035</v>
      </c>
    </row>
    <row r="680" spans="1:11" x14ac:dyDescent="0.3">
      <c r="A680" s="6" t="s">
        <v>689</v>
      </c>
      <c r="B680" t="s">
        <v>1687</v>
      </c>
      <c r="C680" t="s">
        <v>2007</v>
      </c>
      <c r="D680">
        <v>16</v>
      </c>
      <c r="E680" t="s">
        <v>2009</v>
      </c>
      <c r="F680" t="s">
        <v>2014</v>
      </c>
      <c r="G680" t="s">
        <v>2022</v>
      </c>
      <c r="H680" t="s">
        <v>2023</v>
      </c>
      <c r="I680">
        <v>47</v>
      </c>
      <c r="J680" t="s">
        <v>2032</v>
      </c>
      <c r="K680" t="s">
        <v>2036</v>
      </c>
    </row>
    <row r="681" spans="1:11" x14ac:dyDescent="0.3">
      <c r="A681" s="6" t="s">
        <v>690</v>
      </c>
      <c r="B681" t="s">
        <v>1688</v>
      </c>
      <c r="C681" t="s">
        <v>2008</v>
      </c>
      <c r="D681">
        <v>18</v>
      </c>
      <c r="E681" t="s">
        <v>2011</v>
      </c>
      <c r="F681" t="s">
        <v>2014</v>
      </c>
      <c r="G681" t="s">
        <v>2021</v>
      </c>
      <c r="H681" t="s">
        <v>2023</v>
      </c>
      <c r="I681">
        <v>35</v>
      </c>
      <c r="J681" t="s">
        <v>2031</v>
      </c>
      <c r="K681" t="s">
        <v>2036</v>
      </c>
    </row>
    <row r="682" spans="1:11" x14ac:dyDescent="0.3">
      <c r="A682" s="6" t="s">
        <v>691</v>
      </c>
      <c r="B682" t="s">
        <v>1689</v>
      </c>
      <c r="C682" t="s">
        <v>2008</v>
      </c>
      <c r="D682">
        <v>16</v>
      </c>
      <c r="E682" t="s">
        <v>2013</v>
      </c>
      <c r="F682" t="s">
        <v>2016</v>
      </c>
      <c r="G682" t="s">
        <v>2019</v>
      </c>
      <c r="H682" t="s">
        <v>2023</v>
      </c>
      <c r="I682">
        <v>80</v>
      </c>
      <c r="J682" t="s">
        <v>2031</v>
      </c>
      <c r="K682" t="s">
        <v>2035</v>
      </c>
    </row>
    <row r="683" spans="1:11" x14ac:dyDescent="0.3">
      <c r="A683" s="6" t="s">
        <v>692</v>
      </c>
      <c r="B683" t="s">
        <v>1690</v>
      </c>
      <c r="C683" t="s">
        <v>2007</v>
      </c>
      <c r="D683">
        <v>15</v>
      </c>
      <c r="E683" t="s">
        <v>2011</v>
      </c>
      <c r="F683" t="s">
        <v>2015</v>
      </c>
      <c r="G683" t="s">
        <v>2020</v>
      </c>
      <c r="H683" t="s">
        <v>2024</v>
      </c>
      <c r="I683">
        <v>30</v>
      </c>
      <c r="J683" t="s">
        <v>2026</v>
      </c>
      <c r="K683" t="s">
        <v>2036</v>
      </c>
    </row>
    <row r="684" spans="1:11" x14ac:dyDescent="0.3">
      <c r="A684" s="6" t="s">
        <v>693</v>
      </c>
      <c r="B684" t="s">
        <v>1691</v>
      </c>
      <c r="C684" t="s">
        <v>2008</v>
      </c>
      <c r="D684">
        <v>15</v>
      </c>
      <c r="E684" t="s">
        <v>2010</v>
      </c>
      <c r="F684" t="s">
        <v>2017</v>
      </c>
      <c r="G684" t="s">
        <v>2020</v>
      </c>
      <c r="H684" t="s">
        <v>2024</v>
      </c>
      <c r="I684">
        <v>14</v>
      </c>
      <c r="J684" t="s">
        <v>2030</v>
      </c>
      <c r="K684" t="s">
        <v>2036</v>
      </c>
    </row>
    <row r="685" spans="1:11" x14ac:dyDescent="0.3">
      <c r="A685" s="6" t="s">
        <v>694</v>
      </c>
      <c r="B685" t="s">
        <v>1692</v>
      </c>
      <c r="C685" t="s">
        <v>2008</v>
      </c>
      <c r="D685">
        <v>16</v>
      </c>
      <c r="E685" t="s">
        <v>2009</v>
      </c>
      <c r="F685" t="s">
        <v>2016</v>
      </c>
      <c r="G685" t="s">
        <v>2022</v>
      </c>
      <c r="H685" t="s">
        <v>2024</v>
      </c>
      <c r="I685">
        <v>33</v>
      </c>
      <c r="J685" t="s">
        <v>2029</v>
      </c>
      <c r="K685" t="s">
        <v>2036</v>
      </c>
    </row>
    <row r="686" spans="1:11" x14ac:dyDescent="0.3">
      <c r="A686" s="6" t="s">
        <v>695</v>
      </c>
      <c r="B686" t="s">
        <v>1693</v>
      </c>
      <c r="C686" t="s">
        <v>2008</v>
      </c>
      <c r="D686">
        <v>14</v>
      </c>
      <c r="E686" t="s">
        <v>2011</v>
      </c>
      <c r="F686" t="s">
        <v>2017</v>
      </c>
      <c r="G686" t="s">
        <v>2022</v>
      </c>
      <c r="H686" t="s">
        <v>2024</v>
      </c>
      <c r="I686">
        <v>66</v>
      </c>
      <c r="J686" t="s">
        <v>2031</v>
      </c>
      <c r="K686" t="s">
        <v>2035</v>
      </c>
    </row>
    <row r="687" spans="1:11" x14ac:dyDescent="0.3">
      <c r="A687" s="6" t="s">
        <v>696</v>
      </c>
      <c r="B687" t="s">
        <v>1694</v>
      </c>
      <c r="C687" t="s">
        <v>2008</v>
      </c>
      <c r="D687">
        <v>18</v>
      </c>
      <c r="E687" t="s">
        <v>2013</v>
      </c>
      <c r="F687" t="s">
        <v>2016</v>
      </c>
      <c r="G687" t="s">
        <v>2019</v>
      </c>
      <c r="H687" t="s">
        <v>2023</v>
      </c>
      <c r="I687">
        <v>89</v>
      </c>
      <c r="J687" t="s">
        <v>2031</v>
      </c>
      <c r="K687" t="s">
        <v>2035</v>
      </c>
    </row>
    <row r="688" spans="1:11" x14ac:dyDescent="0.3">
      <c r="A688" s="6" t="s">
        <v>697</v>
      </c>
      <c r="B688" t="s">
        <v>1695</v>
      </c>
      <c r="C688" t="s">
        <v>2008</v>
      </c>
      <c r="D688">
        <v>15</v>
      </c>
      <c r="E688" t="s">
        <v>2011</v>
      </c>
      <c r="F688" t="s">
        <v>2016</v>
      </c>
      <c r="G688" t="s">
        <v>2020</v>
      </c>
      <c r="H688" t="s">
        <v>2024</v>
      </c>
      <c r="I688">
        <v>16</v>
      </c>
      <c r="J688" t="s">
        <v>2032</v>
      </c>
      <c r="K688" t="s">
        <v>2036</v>
      </c>
    </row>
    <row r="689" spans="1:11" x14ac:dyDescent="0.3">
      <c r="A689" s="6" t="s">
        <v>698</v>
      </c>
      <c r="B689" t="s">
        <v>1696</v>
      </c>
      <c r="C689" t="s">
        <v>2008</v>
      </c>
      <c r="D689">
        <v>18</v>
      </c>
      <c r="E689" t="s">
        <v>2012</v>
      </c>
      <c r="F689" t="s">
        <v>2017</v>
      </c>
      <c r="G689" t="s">
        <v>2019</v>
      </c>
      <c r="H689" t="s">
        <v>2024</v>
      </c>
      <c r="I689">
        <v>6</v>
      </c>
      <c r="J689" t="s">
        <v>2030</v>
      </c>
      <c r="K689" t="s">
        <v>2036</v>
      </c>
    </row>
    <row r="690" spans="1:11" x14ac:dyDescent="0.3">
      <c r="A690" s="6" t="s">
        <v>699</v>
      </c>
      <c r="B690" t="s">
        <v>1697</v>
      </c>
      <c r="C690" t="s">
        <v>2008</v>
      </c>
      <c r="D690">
        <v>16</v>
      </c>
      <c r="E690" t="s">
        <v>2011</v>
      </c>
      <c r="F690" t="s">
        <v>2016</v>
      </c>
      <c r="G690" t="s">
        <v>2020</v>
      </c>
      <c r="H690" t="s">
        <v>2023</v>
      </c>
      <c r="I690">
        <v>65</v>
      </c>
      <c r="J690" t="s">
        <v>2029</v>
      </c>
      <c r="K690" t="s">
        <v>2035</v>
      </c>
    </row>
    <row r="691" spans="1:11" x14ac:dyDescent="0.3">
      <c r="A691" s="6" t="s">
        <v>700</v>
      </c>
      <c r="B691" t="s">
        <v>1698</v>
      </c>
      <c r="C691" t="s">
        <v>2007</v>
      </c>
      <c r="D691">
        <v>14</v>
      </c>
      <c r="E691" t="s">
        <v>2012</v>
      </c>
      <c r="F691" t="s">
        <v>2016</v>
      </c>
      <c r="G691" t="s">
        <v>2022</v>
      </c>
      <c r="H691" t="s">
        <v>2023</v>
      </c>
      <c r="I691">
        <v>80</v>
      </c>
      <c r="J691" t="s">
        <v>2030</v>
      </c>
      <c r="K691" t="s">
        <v>2035</v>
      </c>
    </row>
    <row r="692" spans="1:11" x14ac:dyDescent="0.3">
      <c r="A692" s="6" t="s">
        <v>701</v>
      </c>
      <c r="B692" t="s">
        <v>1699</v>
      </c>
      <c r="C692" t="s">
        <v>2007</v>
      </c>
      <c r="D692">
        <v>17</v>
      </c>
      <c r="E692" t="s">
        <v>2013</v>
      </c>
      <c r="F692" t="s">
        <v>2015</v>
      </c>
      <c r="G692" t="s">
        <v>2022</v>
      </c>
      <c r="H692" t="s">
        <v>2024</v>
      </c>
      <c r="I692">
        <v>14</v>
      </c>
      <c r="J692" t="s">
        <v>2029</v>
      </c>
      <c r="K692" t="s">
        <v>2036</v>
      </c>
    </row>
    <row r="693" spans="1:11" x14ac:dyDescent="0.3">
      <c r="A693" s="6" t="s">
        <v>702</v>
      </c>
      <c r="B693" t="s">
        <v>1700</v>
      </c>
      <c r="C693" t="s">
        <v>2007</v>
      </c>
      <c r="D693">
        <v>17</v>
      </c>
      <c r="E693" t="s">
        <v>2012</v>
      </c>
      <c r="F693" t="s">
        <v>2015</v>
      </c>
      <c r="G693" t="s">
        <v>2021</v>
      </c>
      <c r="H693" t="s">
        <v>2023</v>
      </c>
      <c r="I693">
        <v>42</v>
      </c>
      <c r="J693" t="s">
        <v>2030</v>
      </c>
      <c r="K693" t="s">
        <v>2036</v>
      </c>
    </row>
    <row r="694" spans="1:11" x14ac:dyDescent="0.3">
      <c r="A694" s="6" t="s">
        <v>703</v>
      </c>
      <c r="B694" t="s">
        <v>1701</v>
      </c>
      <c r="C694" t="s">
        <v>2007</v>
      </c>
      <c r="D694">
        <v>14</v>
      </c>
      <c r="E694" t="s">
        <v>2009</v>
      </c>
      <c r="F694" t="s">
        <v>2014</v>
      </c>
      <c r="G694" t="s">
        <v>2020</v>
      </c>
      <c r="H694" t="s">
        <v>2024</v>
      </c>
      <c r="I694">
        <v>44</v>
      </c>
      <c r="J694" t="s">
        <v>2027</v>
      </c>
      <c r="K694" t="s">
        <v>2036</v>
      </c>
    </row>
    <row r="695" spans="1:11" x14ac:dyDescent="0.3">
      <c r="A695" s="6" t="s">
        <v>704</v>
      </c>
      <c r="B695" t="s">
        <v>1702</v>
      </c>
      <c r="C695" t="s">
        <v>2007</v>
      </c>
      <c r="D695">
        <v>15</v>
      </c>
      <c r="E695" t="s">
        <v>2011</v>
      </c>
      <c r="F695" t="s">
        <v>2016</v>
      </c>
      <c r="G695" t="s">
        <v>2018</v>
      </c>
      <c r="H695" t="s">
        <v>2024</v>
      </c>
      <c r="I695">
        <v>48</v>
      </c>
      <c r="J695" t="s">
        <v>2028</v>
      </c>
      <c r="K695" t="s">
        <v>2036</v>
      </c>
    </row>
    <row r="696" spans="1:11" x14ac:dyDescent="0.3">
      <c r="A696" s="6" t="s">
        <v>705</v>
      </c>
      <c r="B696" t="s">
        <v>1703</v>
      </c>
      <c r="C696" t="s">
        <v>2007</v>
      </c>
      <c r="D696">
        <v>18</v>
      </c>
      <c r="E696" t="s">
        <v>2013</v>
      </c>
      <c r="F696" t="s">
        <v>2014</v>
      </c>
      <c r="G696" t="s">
        <v>2019</v>
      </c>
      <c r="H696" t="s">
        <v>2024</v>
      </c>
      <c r="I696">
        <v>68</v>
      </c>
      <c r="J696" t="s">
        <v>2028</v>
      </c>
      <c r="K696" t="s">
        <v>2035</v>
      </c>
    </row>
    <row r="697" spans="1:11" x14ac:dyDescent="0.3">
      <c r="A697" s="6" t="s">
        <v>706</v>
      </c>
      <c r="B697" t="s">
        <v>1704</v>
      </c>
      <c r="C697" t="s">
        <v>2008</v>
      </c>
      <c r="D697">
        <v>16</v>
      </c>
      <c r="E697" t="s">
        <v>2009</v>
      </c>
      <c r="F697" t="s">
        <v>2016</v>
      </c>
      <c r="G697" t="s">
        <v>2020</v>
      </c>
      <c r="H697" t="s">
        <v>2023</v>
      </c>
      <c r="I697">
        <v>11</v>
      </c>
      <c r="J697" t="s">
        <v>2033</v>
      </c>
      <c r="K697" t="s">
        <v>2036</v>
      </c>
    </row>
    <row r="698" spans="1:11" x14ac:dyDescent="0.3">
      <c r="A698" s="6" t="s">
        <v>707</v>
      </c>
      <c r="B698" t="s">
        <v>1705</v>
      </c>
      <c r="C698" t="s">
        <v>2008</v>
      </c>
      <c r="D698">
        <v>14</v>
      </c>
      <c r="E698" t="s">
        <v>2011</v>
      </c>
      <c r="F698" t="s">
        <v>2017</v>
      </c>
      <c r="G698" t="s">
        <v>2018</v>
      </c>
      <c r="H698" t="s">
        <v>2024</v>
      </c>
      <c r="I698">
        <v>10</v>
      </c>
      <c r="J698" t="s">
        <v>2034</v>
      </c>
      <c r="K698" t="s">
        <v>2036</v>
      </c>
    </row>
    <row r="699" spans="1:11" x14ac:dyDescent="0.3">
      <c r="A699" s="6" t="s">
        <v>708</v>
      </c>
      <c r="B699" t="s">
        <v>1706</v>
      </c>
      <c r="C699" t="s">
        <v>2007</v>
      </c>
      <c r="D699">
        <v>18</v>
      </c>
      <c r="E699" t="s">
        <v>2012</v>
      </c>
      <c r="F699" t="s">
        <v>2014</v>
      </c>
      <c r="G699" t="s">
        <v>2019</v>
      </c>
      <c r="H699" t="s">
        <v>2024</v>
      </c>
      <c r="I699">
        <v>87</v>
      </c>
      <c r="J699" t="s">
        <v>2029</v>
      </c>
      <c r="K699" t="s">
        <v>2035</v>
      </c>
    </row>
    <row r="700" spans="1:11" x14ac:dyDescent="0.3">
      <c r="A700" s="6" t="s">
        <v>709</v>
      </c>
      <c r="B700" t="s">
        <v>1707</v>
      </c>
      <c r="C700" t="s">
        <v>2008</v>
      </c>
      <c r="D700">
        <v>18</v>
      </c>
      <c r="E700" t="s">
        <v>2010</v>
      </c>
      <c r="F700" t="s">
        <v>2014</v>
      </c>
      <c r="G700" t="s">
        <v>2018</v>
      </c>
      <c r="H700" t="s">
        <v>2023</v>
      </c>
      <c r="I700">
        <v>0</v>
      </c>
      <c r="J700" t="s">
        <v>2032</v>
      </c>
      <c r="K700" t="s">
        <v>2036</v>
      </c>
    </row>
    <row r="701" spans="1:11" x14ac:dyDescent="0.3">
      <c r="A701" s="6" t="s">
        <v>710</v>
      </c>
      <c r="B701" t="s">
        <v>1708</v>
      </c>
      <c r="C701" t="s">
        <v>2007</v>
      </c>
      <c r="D701">
        <v>17</v>
      </c>
      <c r="E701" t="s">
        <v>2010</v>
      </c>
      <c r="F701" t="s">
        <v>2015</v>
      </c>
      <c r="G701" t="s">
        <v>2021</v>
      </c>
      <c r="H701" t="s">
        <v>2023</v>
      </c>
      <c r="I701">
        <v>99</v>
      </c>
      <c r="J701" t="s">
        <v>2029</v>
      </c>
      <c r="K701" t="s">
        <v>2035</v>
      </c>
    </row>
    <row r="702" spans="1:11" x14ac:dyDescent="0.3">
      <c r="A702" s="6" t="s">
        <v>711</v>
      </c>
      <c r="B702" t="s">
        <v>1709</v>
      </c>
      <c r="C702" t="s">
        <v>2007</v>
      </c>
      <c r="D702">
        <v>16</v>
      </c>
      <c r="E702" t="s">
        <v>2012</v>
      </c>
      <c r="F702" t="s">
        <v>2017</v>
      </c>
      <c r="G702" t="s">
        <v>2020</v>
      </c>
      <c r="H702" t="s">
        <v>2024</v>
      </c>
      <c r="I702">
        <v>85</v>
      </c>
      <c r="J702" t="s">
        <v>2033</v>
      </c>
      <c r="K702" t="s">
        <v>2035</v>
      </c>
    </row>
    <row r="703" spans="1:11" x14ac:dyDescent="0.3">
      <c r="A703" s="6" t="s">
        <v>712</v>
      </c>
      <c r="B703" t="s">
        <v>1710</v>
      </c>
      <c r="C703" t="s">
        <v>2008</v>
      </c>
      <c r="D703">
        <v>17</v>
      </c>
      <c r="E703" t="s">
        <v>2011</v>
      </c>
      <c r="F703" t="s">
        <v>2016</v>
      </c>
      <c r="G703" t="s">
        <v>2020</v>
      </c>
      <c r="H703" t="s">
        <v>2024</v>
      </c>
      <c r="I703">
        <v>52</v>
      </c>
      <c r="J703" t="s">
        <v>2025</v>
      </c>
      <c r="K703" t="s">
        <v>2035</v>
      </c>
    </row>
    <row r="704" spans="1:11" x14ac:dyDescent="0.3">
      <c r="A704" s="6" t="s">
        <v>713</v>
      </c>
      <c r="B704" t="s">
        <v>1711</v>
      </c>
      <c r="C704" t="s">
        <v>2008</v>
      </c>
      <c r="D704">
        <v>17</v>
      </c>
      <c r="E704" t="s">
        <v>2012</v>
      </c>
      <c r="F704" t="s">
        <v>2017</v>
      </c>
      <c r="G704" t="s">
        <v>2020</v>
      </c>
      <c r="H704" t="s">
        <v>2023</v>
      </c>
      <c r="I704">
        <v>95</v>
      </c>
      <c r="J704" t="s">
        <v>2026</v>
      </c>
      <c r="K704" t="s">
        <v>2035</v>
      </c>
    </row>
    <row r="705" spans="1:11" x14ac:dyDescent="0.3">
      <c r="A705" s="6" t="s">
        <v>714</v>
      </c>
      <c r="B705" t="s">
        <v>1712</v>
      </c>
      <c r="C705" t="s">
        <v>2007</v>
      </c>
      <c r="D705">
        <v>14</v>
      </c>
      <c r="E705" t="s">
        <v>2009</v>
      </c>
      <c r="F705" t="s">
        <v>2017</v>
      </c>
      <c r="G705" t="s">
        <v>2019</v>
      </c>
      <c r="H705" t="s">
        <v>2024</v>
      </c>
      <c r="I705">
        <v>49</v>
      </c>
      <c r="J705" t="s">
        <v>2028</v>
      </c>
      <c r="K705" t="s">
        <v>2036</v>
      </c>
    </row>
    <row r="706" spans="1:11" x14ac:dyDescent="0.3">
      <c r="A706" s="6" t="s">
        <v>715</v>
      </c>
      <c r="B706" t="s">
        <v>1713</v>
      </c>
      <c r="C706" t="s">
        <v>2007</v>
      </c>
      <c r="D706">
        <v>17</v>
      </c>
      <c r="E706" t="s">
        <v>2012</v>
      </c>
      <c r="F706" t="s">
        <v>2017</v>
      </c>
      <c r="G706" t="s">
        <v>2019</v>
      </c>
      <c r="H706" t="s">
        <v>2024</v>
      </c>
      <c r="I706">
        <v>62</v>
      </c>
      <c r="J706" t="s">
        <v>2033</v>
      </c>
      <c r="K706" t="s">
        <v>2035</v>
      </c>
    </row>
    <row r="707" spans="1:11" x14ac:dyDescent="0.3">
      <c r="A707" s="6" t="s">
        <v>716</v>
      </c>
      <c r="B707" t="s">
        <v>1714</v>
      </c>
      <c r="C707" t="s">
        <v>2008</v>
      </c>
      <c r="D707">
        <v>15</v>
      </c>
      <c r="E707" t="s">
        <v>2012</v>
      </c>
      <c r="F707" t="s">
        <v>2015</v>
      </c>
      <c r="G707" t="s">
        <v>2022</v>
      </c>
      <c r="H707" t="s">
        <v>2024</v>
      </c>
      <c r="I707">
        <v>11</v>
      </c>
      <c r="J707" t="s">
        <v>2028</v>
      </c>
      <c r="K707" t="s">
        <v>2036</v>
      </c>
    </row>
    <row r="708" spans="1:11" x14ac:dyDescent="0.3">
      <c r="A708" s="6" t="s">
        <v>717</v>
      </c>
      <c r="B708" t="s">
        <v>1715</v>
      </c>
      <c r="C708" t="s">
        <v>2008</v>
      </c>
      <c r="D708">
        <v>17</v>
      </c>
      <c r="E708" t="s">
        <v>2011</v>
      </c>
      <c r="F708" t="s">
        <v>2017</v>
      </c>
      <c r="G708" t="s">
        <v>2021</v>
      </c>
      <c r="H708" t="s">
        <v>2024</v>
      </c>
      <c r="I708">
        <v>42</v>
      </c>
      <c r="J708" t="s">
        <v>2033</v>
      </c>
      <c r="K708" t="s">
        <v>2036</v>
      </c>
    </row>
    <row r="709" spans="1:11" x14ac:dyDescent="0.3">
      <c r="A709" s="6" t="s">
        <v>718</v>
      </c>
      <c r="B709" t="s">
        <v>1716</v>
      </c>
      <c r="C709" t="s">
        <v>2008</v>
      </c>
      <c r="D709">
        <v>15</v>
      </c>
      <c r="E709" t="s">
        <v>2009</v>
      </c>
      <c r="F709" t="s">
        <v>2017</v>
      </c>
      <c r="G709" t="s">
        <v>2019</v>
      </c>
      <c r="H709" t="s">
        <v>2024</v>
      </c>
      <c r="I709">
        <v>36</v>
      </c>
      <c r="J709" t="s">
        <v>2033</v>
      </c>
      <c r="K709" t="s">
        <v>2036</v>
      </c>
    </row>
    <row r="710" spans="1:11" x14ac:dyDescent="0.3">
      <c r="A710" s="6" t="s">
        <v>719</v>
      </c>
      <c r="B710" t="s">
        <v>1717</v>
      </c>
      <c r="C710" t="s">
        <v>2007</v>
      </c>
      <c r="D710">
        <v>16</v>
      </c>
      <c r="E710" t="s">
        <v>2010</v>
      </c>
      <c r="F710" t="s">
        <v>2014</v>
      </c>
      <c r="G710" t="s">
        <v>2019</v>
      </c>
      <c r="H710" t="s">
        <v>2024</v>
      </c>
      <c r="I710">
        <v>10</v>
      </c>
      <c r="J710" t="s">
        <v>2031</v>
      </c>
      <c r="K710" t="s">
        <v>2036</v>
      </c>
    </row>
    <row r="711" spans="1:11" x14ac:dyDescent="0.3">
      <c r="A711" s="6" t="s">
        <v>720</v>
      </c>
      <c r="B711" t="s">
        <v>1718</v>
      </c>
      <c r="C711" t="s">
        <v>2007</v>
      </c>
      <c r="D711">
        <v>16</v>
      </c>
      <c r="E711" t="s">
        <v>2010</v>
      </c>
      <c r="F711" t="s">
        <v>2017</v>
      </c>
      <c r="G711" t="s">
        <v>2022</v>
      </c>
      <c r="H711" t="s">
        <v>2023</v>
      </c>
      <c r="I711">
        <v>91</v>
      </c>
      <c r="J711" t="s">
        <v>2034</v>
      </c>
      <c r="K711" t="s">
        <v>2035</v>
      </c>
    </row>
    <row r="712" spans="1:11" x14ac:dyDescent="0.3">
      <c r="A712" s="6" t="s">
        <v>721</v>
      </c>
      <c r="B712" t="s">
        <v>1719</v>
      </c>
      <c r="C712" t="s">
        <v>2007</v>
      </c>
      <c r="D712">
        <v>16</v>
      </c>
      <c r="E712" t="s">
        <v>2010</v>
      </c>
      <c r="F712" t="s">
        <v>2016</v>
      </c>
      <c r="G712" t="s">
        <v>2022</v>
      </c>
      <c r="H712" t="s">
        <v>2023</v>
      </c>
      <c r="I712">
        <v>67</v>
      </c>
      <c r="J712" t="s">
        <v>2028</v>
      </c>
      <c r="K712" t="s">
        <v>2035</v>
      </c>
    </row>
    <row r="713" spans="1:11" x14ac:dyDescent="0.3">
      <c r="A713" s="6" t="s">
        <v>722</v>
      </c>
      <c r="B713" t="s">
        <v>1720</v>
      </c>
      <c r="C713" t="s">
        <v>2008</v>
      </c>
      <c r="D713">
        <v>16</v>
      </c>
      <c r="E713" t="s">
        <v>2013</v>
      </c>
      <c r="F713" t="s">
        <v>2016</v>
      </c>
      <c r="G713" t="s">
        <v>2020</v>
      </c>
      <c r="H713" t="s">
        <v>2024</v>
      </c>
      <c r="I713">
        <v>96</v>
      </c>
      <c r="J713" t="s">
        <v>2027</v>
      </c>
      <c r="K713" t="s">
        <v>2035</v>
      </c>
    </row>
    <row r="714" spans="1:11" x14ac:dyDescent="0.3">
      <c r="A714" s="6" t="s">
        <v>723</v>
      </c>
      <c r="B714" t="s">
        <v>1721</v>
      </c>
      <c r="C714" t="s">
        <v>2007</v>
      </c>
      <c r="D714">
        <v>17</v>
      </c>
      <c r="E714" t="s">
        <v>2009</v>
      </c>
      <c r="F714" t="s">
        <v>2015</v>
      </c>
      <c r="G714" t="s">
        <v>2019</v>
      </c>
      <c r="H714" t="s">
        <v>2023</v>
      </c>
      <c r="I714">
        <v>25</v>
      </c>
      <c r="J714" t="s">
        <v>2033</v>
      </c>
      <c r="K714" t="s">
        <v>2036</v>
      </c>
    </row>
    <row r="715" spans="1:11" x14ac:dyDescent="0.3">
      <c r="A715" s="6" t="s">
        <v>724</v>
      </c>
      <c r="B715" t="s">
        <v>1722</v>
      </c>
      <c r="C715" t="s">
        <v>2008</v>
      </c>
      <c r="D715">
        <v>15</v>
      </c>
      <c r="E715" t="s">
        <v>2011</v>
      </c>
      <c r="F715" t="s">
        <v>2014</v>
      </c>
      <c r="G715" t="s">
        <v>2019</v>
      </c>
      <c r="H715" t="s">
        <v>2023</v>
      </c>
      <c r="I715">
        <v>36</v>
      </c>
      <c r="J715" t="s">
        <v>2028</v>
      </c>
      <c r="K715" t="s">
        <v>2036</v>
      </c>
    </row>
    <row r="716" spans="1:11" x14ac:dyDescent="0.3">
      <c r="A716" s="6" t="s">
        <v>725</v>
      </c>
      <c r="B716" t="s">
        <v>1723</v>
      </c>
      <c r="C716" t="s">
        <v>2008</v>
      </c>
      <c r="D716">
        <v>14</v>
      </c>
      <c r="E716" t="s">
        <v>2010</v>
      </c>
      <c r="F716" t="s">
        <v>2016</v>
      </c>
      <c r="G716" t="s">
        <v>2019</v>
      </c>
      <c r="H716" t="s">
        <v>2024</v>
      </c>
      <c r="I716">
        <v>70</v>
      </c>
      <c r="J716" t="s">
        <v>2032</v>
      </c>
      <c r="K716" t="s">
        <v>2035</v>
      </c>
    </row>
    <row r="717" spans="1:11" x14ac:dyDescent="0.3">
      <c r="A717" s="6" t="s">
        <v>726</v>
      </c>
      <c r="B717" t="s">
        <v>1724</v>
      </c>
      <c r="C717" t="s">
        <v>2007</v>
      </c>
      <c r="D717">
        <v>17</v>
      </c>
      <c r="E717" t="s">
        <v>2013</v>
      </c>
      <c r="F717" t="s">
        <v>2017</v>
      </c>
      <c r="G717" t="s">
        <v>2021</v>
      </c>
      <c r="H717" t="s">
        <v>2024</v>
      </c>
      <c r="I717">
        <v>50</v>
      </c>
      <c r="J717" t="s">
        <v>2027</v>
      </c>
      <c r="K717" t="s">
        <v>2035</v>
      </c>
    </row>
    <row r="718" spans="1:11" x14ac:dyDescent="0.3">
      <c r="A718" s="6" t="s">
        <v>727</v>
      </c>
      <c r="B718" t="s">
        <v>1725</v>
      </c>
      <c r="C718" t="s">
        <v>2007</v>
      </c>
      <c r="D718">
        <v>18</v>
      </c>
      <c r="E718" t="s">
        <v>2009</v>
      </c>
      <c r="F718" t="s">
        <v>2014</v>
      </c>
      <c r="G718" t="s">
        <v>2020</v>
      </c>
      <c r="H718" t="s">
        <v>2023</v>
      </c>
      <c r="I718">
        <v>38</v>
      </c>
      <c r="J718" t="s">
        <v>2034</v>
      </c>
      <c r="K718" t="s">
        <v>2036</v>
      </c>
    </row>
    <row r="719" spans="1:11" x14ac:dyDescent="0.3">
      <c r="A719" s="6" t="s">
        <v>728</v>
      </c>
      <c r="B719" t="s">
        <v>1726</v>
      </c>
      <c r="C719" t="s">
        <v>2008</v>
      </c>
      <c r="D719">
        <v>17</v>
      </c>
      <c r="E719" t="s">
        <v>2010</v>
      </c>
      <c r="F719" t="s">
        <v>2015</v>
      </c>
      <c r="G719" t="s">
        <v>2021</v>
      </c>
      <c r="H719" t="s">
        <v>2023</v>
      </c>
      <c r="I719">
        <v>79</v>
      </c>
      <c r="J719" t="s">
        <v>2026</v>
      </c>
      <c r="K719" t="s">
        <v>2035</v>
      </c>
    </row>
    <row r="720" spans="1:11" x14ac:dyDescent="0.3">
      <c r="A720" s="6" t="s">
        <v>729</v>
      </c>
      <c r="B720" t="s">
        <v>1727</v>
      </c>
      <c r="C720" t="s">
        <v>2007</v>
      </c>
      <c r="D720">
        <v>14</v>
      </c>
      <c r="E720" t="s">
        <v>2009</v>
      </c>
      <c r="F720" t="s">
        <v>2014</v>
      </c>
      <c r="G720" t="s">
        <v>2021</v>
      </c>
      <c r="H720" t="s">
        <v>2024</v>
      </c>
      <c r="I720">
        <v>96</v>
      </c>
      <c r="J720" t="s">
        <v>2032</v>
      </c>
      <c r="K720" t="s">
        <v>2035</v>
      </c>
    </row>
    <row r="721" spans="1:11" x14ac:dyDescent="0.3">
      <c r="A721" s="6" t="s">
        <v>730</v>
      </c>
      <c r="B721" t="s">
        <v>1728</v>
      </c>
      <c r="C721" t="s">
        <v>2008</v>
      </c>
      <c r="D721">
        <v>17</v>
      </c>
      <c r="E721" t="s">
        <v>2012</v>
      </c>
      <c r="F721" t="s">
        <v>2015</v>
      </c>
      <c r="G721" t="s">
        <v>2020</v>
      </c>
      <c r="H721" t="s">
        <v>2023</v>
      </c>
      <c r="I721">
        <v>17</v>
      </c>
      <c r="J721" t="s">
        <v>2033</v>
      </c>
      <c r="K721" t="s">
        <v>2036</v>
      </c>
    </row>
    <row r="722" spans="1:11" x14ac:dyDescent="0.3">
      <c r="A722" s="6" t="s">
        <v>731</v>
      </c>
      <c r="B722" t="s">
        <v>1729</v>
      </c>
      <c r="C722" t="s">
        <v>2007</v>
      </c>
      <c r="D722">
        <v>15</v>
      </c>
      <c r="E722" t="s">
        <v>2013</v>
      </c>
      <c r="F722" t="s">
        <v>2016</v>
      </c>
      <c r="G722" t="s">
        <v>2018</v>
      </c>
      <c r="H722" t="s">
        <v>2023</v>
      </c>
      <c r="I722">
        <v>87</v>
      </c>
      <c r="J722" t="s">
        <v>2034</v>
      </c>
      <c r="K722" t="s">
        <v>2035</v>
      </c>
    </row>
    <row r="723" spans="1:11" x14ac:dyDescent="0.3">
      <c r="A723" s="6" t="s">
        <v>732</v>
      </c>
      <c r="B723" t="s">
        <v>1730</v>
      </c>
      <c r="C723" t="s">
        <v>2007</v>
      </c>
      <c r="D723">
        <v>17</v>
      </c>
      <c r="E723" t="s">
        <v>2013</v>
      </c>
      <c r="F723" t="s">
        <v>2015</v>
      </c>
      <c r="G723" t="s">
        <v>2021</v>
      </c>
      <c r="H723" t="s">
        <v>2024</v>
      </c>
      <c r="I723">
        <v>84</v>
      </c>
      <c r="J723" t="s">
        <v>2034</v>
      </c>
      <c r="K723" t="s">
        <v>2035</v>
      </c>
    </row>
    <row r="724" spans="1:11" x14ac:dyDescent="0.3">
      <c r="A724" s="6" t="s">
        <v>733</v>
      </c>
      <c r="B724" t="s">
        <v>1731</v>
      </c>
      <c r="C724" t="s">
        <v>2008</v>
      </c>
      <c r="D724">
        <v>14</v>
      </c>
      <c r="E724" t="s">
        <v>2009</v>
      </c>
      <c r="F724" t="s">
        <v>2014</v>
      </c>
      <c r="G724" t="s">
        <v>2018</v>
      </c>
      <c r="H724" t="s">
        <v>2024</v>
      </c>
      <c r="I724">
        <v>21</v>
      </c>
      <c r="J724" t="s">
        <v>2029</v>
      </c>
      <c r="K724" t="s">
        <v>2036</v>
      </c>
    </row>
    <row r="725" spans="1:11" x14ac:dyDescent="0.3">
      <c r="A725" s="6" t="s">
        <v>734</v>
      </c>
      <c r="B725" t="s">
        <v>1732</v>
      </c>
      <c r="C725" t="s">
        <v>2007</v>
      </c>
      <c r="D725">
        <v>15</v>
      </c>
      <c r="E725" t="s">
        <v>2011</v>
      </c>
      <c r="F725" t="s">
        <v>2015</v>
      </c>
      <c r="G725" t="s">
        <v>2018</v>
      </c>
      <c r="H725" t="s">
        <v>2023</v>
      </c>
      <c r="I725">
        <v>23</v>
      </c>
      <c r="J725" t="s">
        <v>2026</v>
      </c>
      <c r="K725" t="s">
        <v>2036</v>
      </c>
    </row>
    <row r="726" spans="1:11" x14ac:dyDescent="0.3">
      <c r="A726" s="6" t="s">
        <v>735</v>
      </c>
      <c r="B726" t="s">
        <v>1733</v>
      </c>
      <c r="C726" t="s">
        <v>2007</v>
      </c>
      <c r="D726">
        <v>15</v>
      </c>
      <c r="E726" t="s">
        <v>2011</v>
      </c>
      <c r="F726" t="s">
        <v>2016</v>
      </c>
      <c r="G726" t="s">
        <v>2018</v>
      </c>
      <c r="H726" t="s">
        <v>2023</v>
      </c>
      <c r="I726">
        <v>3</v>
      </c>
      <c r="J726" t="s">
        <v>2034</v>
      </c>
      <c r="K726" t="s">
        <v>2036</v>
      </c>
    </row>
    <row r="727" spans="1:11" x14ac:dyDescent="0.3">
      <c r="A727" s="6" t="s">
        <v>736</v>
      </c>
      <c r="B727" t="s">
        <v>1734</v>
      </c>
      <c r="C727" t="s">
        <v>2008</v>
      </c>
      <c r="D727">
        <v>18</v>
      </c>
      <c r="E727" t="s">
        <v>2012</v>
      </c>
      <c r="F727" t="s">
        <v>2014</v>
      </c>
      <c r="G727" t="s">
        <v>2021</v>
      </c>
      <c r="H727" t="s">
        <v>2024</v>
      </c>
      <c r="I727">
        <v>24</v>
      </c>
      <c r="J727" t="s">
        <v>2027</v>
      </c>
      <c r="K727" t="s">
        <v>2036</v>
      </c>
    </row>
    <row r="728" spans="1:11" x14ac:dyDescent="0.3">
      <c r="A728" s="6" t="s">
        <v>737</v>
      </c>
      <c r="B728" t="s">
        <v>1735</v>
      </c>
      <c r="C728" t="s">
        <v>2007</v>
      </c>
      <c r="D728">
        <v>17</v>
      </c>
      <c r="E728" t="s">
        <v>2011</v>
      </c>
      <c r="F728" t="s">
        <v>2016</v>
      </c>
      <c r="G728" t="s">
        <v>2021</v>
      </c>
      <c r="H728" t="s">
        <v>2024</v>
      </c>
      <c r="I728">
        <v>12</v>
      </c>
      <c r="J728" t="s">
        <v>2032</v>
      </c>
      <c r="K728" t="s">
        <v>2036</v>
      </c>
    </row>
    <row r="729" spans="1:11" x14ac:dyDescent="0.3">
      <c r="A729" s="6" t="s">
        <v>738</v>
      </c>
      <c r="B729" t="s">
        <v>1736</v>
      </c>
      <c r="C729" t="s">
        <v>2007</v>
      </c>
      <c r="D729">
        <v>15</v>
      </c>
      <c r="E729" t="s">
        <v>2012</v>
      </c>
      <c r="F729" t="s">
        <v>2015</v>
      </c>
      <c r="G729" t="s">
        <v>2021</v>
      </c>
      <c r="H729" t="s">
        <v>2024</v>
      </c>
      <c r="I729">
        <v>11</v>
      </c>
      <c r="J729" t="s">
        <v>2033</v>
      </c>
      <c r="K729" t="s">
        <v>2036</v>
      </c>
    </row>
    <row r="730" spans="1:11" x14ac:dyDescent="0.3">
      <c r="A730" s="6" t="s">
        <v>739</v>
      </c>
      <c r="B730" t="s">
        <v>1737</v>
      </c>
      <c r="C730" t="s">
        <v>2008</v>
      </c>
      <c r="D730">
        <v>15</v>
      </c>
      <c r="E730" t="s">
        <v>2009</v>
      </c>
      <c r="F730" t="s">
        <v>2017</v>
      </c>
      <c r="G730" t="s">
        <v>2018</v>
      </c>
      <c r="H730" t="s">
        <v>2023</v>
      </c>
      <c r="I730">
        <v>27</v>
      </c>
      <c r="J730" t="s">
        <v>2031</v>
      </c>
      <c r="K730" t="s">
        <v>2036</v>
      </c>
    </row>
    <row r="731" spans="1:11" x14ac:dyDescent="0.3">
      <c r="A731" s="6" t="s">
        <v>740</v>
      </c>
      <c r="B731" t="s">
        <v>1738</v>
      </c>
      <c r="C731" t="s">
        <v>2007</v>
      </c>
      <c r="D731">
        <v>16</v>
      </c>
      <c r="E731" t="s">
        <v>2012</v>
      </c>
      <c r="F731" t="s">
        <v>2017</v>
      </c>
      <c r="G731" t="s">
        <v>2022</v>
      </c>
      <c r="H731" t="s">
        <v>2023</v>
      </c>
      <c r="I731">
        <v>7</v>
      </c>
      <c r="J731" t="s">
        <v>2034</v>
      </c>
      <c r="K731" t="s">
        <v>2036</v>
      </c>
    </row>
    <row r="732" spans="1:11" x14ac:dyDescent="0.3">
      <c r="A732" s="6" t="s">
        <v>741</v>
      </c>
      <c r="B732" t="s">
        <v>1739</v>
      </c>
      <c r="C732" t="s">
        <v>2008</v>
      </c>
      <c r="D732">
        <v>15</v>
      </c>
      <c r="E732" t="s">
        <v>2009</v>
      </c>
      <c r="F732" t="s">
        <v>2016</v>
      </c>
      <c r="G732" t="s">
        <v>2022</v>
      </c>
      <c r="H732" t="s">
        <v>2024</v>
      </c>
      <c r="I732">
        <v>22</v>
      </c>
      <c r="J732" t="s">
        <v>2032</v>
      </c>
      <c r="K732" t="s">
        <v>2036</v>
      </c>
    </row>
    <row r="733" spans="1:11" x14ac:dyDescent="0.3">
      <c r="A733" s="6" t="s">
        <v>742</v>
      </c>
      <c r="B733" t="s">
        <v>1740</v>
      </c>
      <c r="C733" t="s">
        <v>2007</v>
      </c>
      <c r="D733">
        <v>16</v>
      </c>
      <c r="E733" t="s">
        <v>2010</v>
      </c>
      <c r="F733" t="s">
        <v>2015</v>
      </c>
      <c r="G733" t="s">
        <v>2019</v>
      </c>
      <c r="H733" t="s">
        <v>2024</v>
      </c>
      <c r="I733">
        <v>12</v>
      </c>
      <c r="J733" t="s">
        <v>2032</v>
      </c>
      <c r="K733" t="s">
        <v>2036</v>
      </c>
    </row>
    <row r="734" spans="1:11" x14ac:dyDescent="0.3">
      <c r="A734" s="6" t="s">
        <v>743</v>
      </c>
      <c r="B734" t="s">
        <v>1741</v>
      </c>
      <c r="C734" t="s">
        <v>2007</v>
      </c>
      <c r="D734">
        <v>17</v>
      </c>
      <c r="E734" t="s">
        <v>2013</v>
      </c>
      <c r="F734" t="s">
        <v>2015</v>
      </c>
      <c r="G734" t="s">
        <v>2020</v>
      </c>
      <c r="H734" t="s">
        <v>2024</v>
      </c>
      <c r="I734">
        <v>95</v>
      </c>
      <c r="J734" t="s">
        <v>2031</v>
      </c>
      <c r="K734" t="s">
        <v>2035</v>
      </c>
    </row>
    <row r="735" spans="1:11" x14ac:dyDescent="0.3">
      <c r="A735" s="6" t="s">
        <v>744</v>
      </c>
      <c r="B735" t="s">
        <v>1742</v>
      </c>
      <c r="C735" t="s">
        <v>2007</v>
      </c>
      <c r="D735">
        <v>14</v>
      </c>
      <c r="E735" t="s">
        <v>2011</v>
      </c>
      <c r="F735" t="s">
        <v>2017</v>
      </c>
      <c r="G735" t="s">
        <v>2020</v>
      </c>
      <c r="H735" t="s">
        <v>2024</v>
      </c>
      <c r="I735">
        <v>8</v>
      </c>
      <c r="J735" t="s">
        <v>2027</v>
      </c>
      <c r="K735" t="s">
        <v>2036</v>
      </c>
    </row>
    <row r="736" spans="1:11" x14ac:dyDescent="0.3">
      <c r="A736" s="6" t="s">
        <v>745</v>
      </c>
      <c r="B736" t="s">
        <v>1743</v>
      </c>
      <c r="C736" t="s">
        <v>2008</v>
      </c>
      <c r="D736">
        <v>18</v>
      </c>
      <c r="E736" t="s">
        <v>2010</v>
      </c>
      <c r="F736" t="s">
        <v>2017</v>
      </c>
      <c r="G736" t="s">
        <v>2019</v>
      </c>
      <c r="H736" t="s">
        <v>2023</v>
      </c>
      <c r="I736">
        <v>45</v>
      </c>
      <c r="J736" t="s">
        <v>2030</v>
      </c>
      <c r="K736" t="s">
        <v>2036</v>
      </c>
    </row>
    <row r="737" spans="1:11" x14ac:dyDescent="0.3">
      <c r="A737" s="6" t="s">
        <v>746</v>
      </c>
      <c r="B737" t="s">
        <v>1744</v>
      </c>
      <c r="C737" t="s">
        <v>2007</v>
      </c>
      <c r="D737">
        <v>16</v>
      </c>
      <c r="E737" t="s">
        <v>2013</v>
      </c>
      <c r="F737" t="s">
        <v>2015</v>
      </c>
      <c r="G737" t="s">
        <v>2019</v>
      </c>
      <c r="H737" t="s">
        <v>2023</v>
      </c>
      <c r="I737">
        <v>29</v>
      </c>
      <c r="J737" t="s">
        <v>2030</v>
      </c>
      <c r="K737" t="s">
        <v>2036</v>
      </c>
    </row>
    <row r="738" spans="1:11" x14ac:dyDescent="0.3">
      <c r="A738" s="6" t="s">
        <v>747</v>
      </c>
      <c r="B738" t="s">
        <v>1745</v>
      </c>
      <c r="C738" t="s">
        <v>2007</v>
      </c>
      <c r="D738">
        <v>18</v>
      </c>
      <c r="E738" t="s">
        <v>2010</v>
      </c>
      <c r="F738" t="s">
        <v>2015</v>
      </c>
      <c r="G738" t="s">
        <v>2018</v>
      </c>
      <c r="H738" t="s">
        <v>2023</v>
      </c>
      <c r="I738">
        <v>17</v>
      </c>
      <c r="J738" t="s">
        <v>2028</v>
      </c>
      <c r="K738" t="s">
        <v>2036</v>
      </c>
    </row>
    <row r="739" spans="1:11" x14ac:dyDescent="0.3">
      <c r="A739" s="6" t="s">
        <v>748</v>
      </c>
      <c r="B739" t="s">
        <v>1746</v>
      </c>
      <c r="C739" t="s">
        <v>2008</v>
      </c>
      <c r="D739">
        <v>16</v>
      </c>
      <c r="E739" t="s">
        <v>2010</v>
      </c>
      <c r="F739" t="s">
        <v>2015</v>
      </c>
      <c r="G739" t="s">
        <v>2022</v>
      </c>
      <c r="H739" t="s">
        <v>2024</v>
      </c>
      <c r="I739">
        <v>79</v>
      </c>
      <c r="J739" t="s">
        <v>2033</v>
      </c>
      <c r="K739" t="s">
        <v>2035</v>
      </c>
    </row>
    <row r="740" spans="1:11" x14ac:dyDescent="0.3">
      <c r="A740" s="6" t="s">
        <v>749</v>
      </c>
      <c r="B740" t="s">
        <v>1747</v>
      </c>
      <c r="C740" t="s">
        <v>2008</v>
      </c>
      <c r="D740">
        <v>15</v>
      </c>
      <c r="E740" t="s">
        <v>2011</v>
      </c>
      <c r="F740" t="s">
        <v>2017</v>
      </c>
      <c r="G740" t="s">
        <v>2021</v>
      </c>
      <c r="H740" t="s">
        <v>2024</v>
      </c>
      <c r="I740">
        <v>84</v>
      </c>
      <c r="J740" t="s">
        <v>2026</v>
      </c>
      <c r="K740" t="s">
        <v>2035</v>
      </c>
    </row>
    <row r="741" spans="1:11" x14ac:dyDescent="0.3">
      <c r="A741" s="6" t="s">
        <v>750</v>
      </c>
      <c r="B741" t="s">
        <v>1748</v>
      </c>
      <c r="C741" t="s">
        <v>2008</v>
      </c>
      <c r="D741">
        <v>14</v>
      </c>
      <c r="E741" t="s">
        <v>2012</v>
      </c>
      <c r="F741" t="s">
        <v>2015</v>
      </c>
      <c r="G741" t="s">
        <v>2022</v>
      </c>
      <c r="H741" t="s">
        <v>2023</v>
      </c>
      <c r="I741">
        <v>59</v>
      </c>
      <c r="J741" t="s">
        <v>2030</v>
      </c>
      <c r="K741" t="s">
        <v>2035</v>
      </c>
    </row>
    <row r="742" spans="1:11" x14ac:dyDescent="0.3">
      <c r="A742" s="6" t="s">
        <v>751</v>
      </c>
      <c r="B742" t="s">
        <v>1749</v>
      </c>
      <c r="C742" t="s">
        <v>2007</v>
      </c>
      <c r="D742">
        <v>14</v>
      </c>
      <c r="E742" t="s">
        <v>2009</v>
      </c>
      <c r="F742" t="s">
        <v>2014</v>
      </c>
      <c r="G742" t="s">
        <v>2022</v>
      </c>
      <c r="H742" t="s">
        <v>2024</v>
      </c>
      <c r="I742">
        <v>9</v>
      </c>
      <c r="J742" t="s">
        <v>2028</v>
      </c>
      <c r="K742" t="s">
        <v>2036</v>
      </c>
    </row>
    <row r="743" spans="1:11" x14ac:dyDescent="0.3">
      <c r="A743" s="6" t="s">
        <v>752</v>
      </c>
      <c r="B743" t="s">
        <v>1750</v>
      </c>
      <c r="C743" t="s">
        <v>2008</v>
      </c>
      <c r="D743">
        <v>16</v>
      </c>
      <c r="E743" t="s">
        <v>2012</v>
      </c>
      <c r="F743" t="s">
        <v>2015</v>
      </c>
      <c r="G743" t="s">
        <v>2018</v>
      </c>
      <c r="H743" t="s">
        <v>2023</v>
      </c>
      <c r="I743">
        <v>95</v>
      </c>
      <c r="J743" t="s">
        <v>2034</v>
      </c>
      <c r="K743" t="s">
        <v>2035</v>
      </c>
    </row>
    <row r="744" spans="1:11" x14ac:dyDescent="0.3">
      <c r="A744" s="6" t="s">
        <v>753</v>
      </c>
      <c r="B744" t="s">
        <v>1751</v>
      </c>
      <c r="C744" t="s">
        <v>2007</v>
      </c>
      <c r="D744">
        <v>17</v>
      </c>
      <c r="E744" t="s">
        <v>2012</v>
      </c>
      <c r="F744" t="s">
        <v>2016</v>
      </c>
      <c r="G744" t="s">
        <v>2019</v>
      </c>
      <c r="H744" t="s">
        <v>2024</v>
      </c>
      <c r="I744">
        <v>19</v>
      </c>
      <c r="J744" t="s">
        <v>2026</v>
      </c>
      <c r="K744" t="s">
        <v>2036</v>
      </c>
    </row>
    <row r="745" spans="1:11" x14ac:dyDescent="0.3">
      <c r="A745" s="6" t="s">
        <v>754</v>
      </c>
      <c r="B745" t="s">
        <v>1752</v>
      </c>
      <c r="C745" t="s">
        <v>2008</v>
      </c>
      <c r="D745">
        <v>16</v>
      </c>
      <c r="E745" t="s">
        <v>2010</v>
      </c>
      <c r="F745" t="s">
        <v>2015</v>
      </c>
      <c r="G745" t="s">
        <v>2022</v>
      </c>
      <c r="H745" t="s">
        <v>2023</v>
      </c>
      <c r="I745">
        <v>83</v>
      </c>
      <c r="J745" t="s">
        <v>2033</v>
      </c>
      <c r="K745" t="s">
        <v>2035</v>
      </c>
    </row>
    <row r="746" spans="1:11" x14ac:dyDescent="0.3">
      <c r="A746" s="6" t="s">
        <v>755</v>
      </c>
      <c r="B746" t="s">
        <v>1753</v>
      </c>
      <c r="C746" t="s">
        <v>2007</v>
      </c>
      <c r="D746">
        <v>15</v>
      </c>
      <c r="E746" t="s">
        <v>2013</v>
      </c>
      <c r="F746" t="s">
        <v>2016</v>
      </c>
      <c r="G746" t="s">
        <v>2018</v>
      </c>
      <c r="H746" t="s">
        <v>2024</v>
      </c>
      <c r="I746">
        <v>33</v>
      </c>
      <c r="J746" t="s">
        <v>2031</v>
      </c>
      <c r="K746" t="s">
        <v>2036</v>
      </c>
    </row>
    <row r="747" spans="1:11" x14ac:dyDescent="0.3">
      <c r="A747" s="6" t="s">
        <v>756</v>
      </c>
      <c r="B747" t="s">
        <v>1754</v>
      </c>
      <c r="C747" t="s">
        <v>2007</v>
      </c>
      <c r="D747">
        <v>16</v>
      </c>
      <c r="E747" t="s">
        <v>2009</v>
      </c>
      <c r="F747" t="s">
        <v>2015</v>
      </c>
      <c r="G747" t="s">
        <v>2022</v>
      </c>
      <c r="H747" t="s">
        <v>2023</v>
      </c>
      <c r="I747">
        <v>77</v>
      </c>
      <c r="J747" t="s">
        <v>2025</v>
      </c>
      <c r="K747" t="s">
        <v>2035</v>
      </c>
    </row>
    <row r="748" spans="1:11" x14ac:dyDescent="0.3">
      <c r="A748" s="6" t="s">
        <v>757</v>
      </c>
      <c r="B748" t="s">
        <v>1755</v>
      </c>
      <c r="C748" t="s">
        <v>2008</v>
      </c>
      <c r="D748">
        <v>15</v>
      </c>
      <c r="E748" t="s">
        <v>2009</v>
      </c>
      <c r="F748" t="s">
        <v>2016</v>
      </c>
      <c r="G748" t="s">
        <v>2018</v>
      </c>
      <c r="H748" t="s">
        <v>2024</v>
      </c>
      <c r="I748">
        <v>36</v>
      </c>
      <c r="J748" t="s">
        <v>2028</v>
      </c>
      <c r="K748" t="s">
        <v>2036</v>
      </c>
    </row>
    <row r="749" spans="1:11" x14ac:dyDescent="0.3">
      <c r="A749" s="6" t="s">
        <v>758</v>
      </c>
      <c r="B749" t="s">
        <v>1756</v>
      </c>
      <c r="C749" t="s">
        <v>2007</v>
      </c>
      <c r="D749">
        <v>15</v>
      </c>
      <c r="E749" t="s">
        <v>2010</v>
      </c>
      <c r="F749" t="s">
        <v>2014</v>
      </c>
      <c r="G749" t="s">
        <v>2021</v>
      </c>
      <c r="H749" t="s">
        <v>2023</v>
      </c>
      <c r="I749">
        <v>40</v>
      </c>
      <c r="J749" t="s">
        <v>2034</v>
      </c>
      <c r="K749" t="s">
        <v>2036</v>
      </c>
    </row>
    <row r="750" spans="1:11" x14ac:dyDescent="0.3">
      <c r="A750" s="6" t="s">
        <v>759</v>
      </c>
      <c r="B750" t="s">
        <v>1757</v>
      </c>
      <c r="C750" t="s">
        <v>2007</v>
      </c>
      <c r="D750">
        <v>16</v>
      </c>
      <c r="E750" t="s">
        <v>2010</v>
      </c>
      <c r="F750" t="s">
        <v>2014</v>
      </c>
      <c r="G750" t="s">
        <v>2022</v>
      </c>
      <c r="H750" t="s">
        <v>2024</v>
      </c>
      <c r="I750">
        <v>29</v>
      </c>
      <c r="J750" t="s">
        <v>2027</v>
      </c>
      <c r="K750" t="s">
        <v>2036</v>
      </c>
    </row>
    <row r="751" spans="1:11" x14ac:dyDescent="0.3">
      <c r="A751" s="6" t="s">
        <v>760</v>
      </c>
      <c r="B751" t="s">
        <v>1758</v>
      </c>
      <c r="C751" t="s">
        <v>2008</v>
      </c>
      <c r="D751">
        <v>16</v>
      </c>
      <c r="E751" t="s">
        <v>2010</v>
      </c>
      <c r="F751" t="s">
        <v>2015</v>
      </c>
      <c r="G751" t="s">
        <v>2021</v>
      </c>
      <c r="H751" t="s">
        <v>2023</v>
      </c>
      <c r="I751">
        <v>16</v>
      </c>
      <c r="J751" t="s">
        <v>2029</v>
      </c>
      <c r="K751" t="s">
        <v>2036</v>
      </c>
    </row>
    <row r="752" spans="1:11" x14ac:dyDescent="0.3">
      <c r="A752" s="6" t="s">
        <v>761</v>
      </c>
      <c r="B752" t="s">
        <v>1759</v>
      </c>
      <c r="C752" t="s">
        <v>2007</v>
      </c>
      <c r="D752">
        <v>16</v>
      </c>
      <c r="E752" t="s">
        <v>2009</v>
      </c>
      <c r="F752" t="s">
        <v>2016</v>
      </c>
      <c r="G752" t="s">
        <v>2022</v>
      </c>
      <c r="H752" t="s">
        <v>2024</v>
      </c>
      <c r="I752">
        <v>0</v>
      </c>
      <c r="J752" t="s">
        <v>2026</v>
      </c>
      <c r="K752" t="s">
        <v>2036</v>
      </c>
    </row>
    <row r="753" spans="1:11" x14ac:dyDescent="0.3">
      <c r="A753" s="6" t="s">
        <v>762</v>
      </c>
      <c r="B753" t="s">
        <v>1760</v>
      </c>
      <c r="C753" t="s">
        <v>2008</v>
      </c>
      <c r="D753">
        <v>16</v>
      </c>
      <c r="E753" t="s">
        <v>2010</v>
      </c>
      <c r="F753" t="s">
        <v>2017</v>
      </c>
      <c r="G753" t="s">
        <v>2020</v>
      </c>
      <c r="H753" t="s">
        <v>2023</v>
      </c>
      <c r="I753">
        <v>2</v>
      </c>
      <c r="J753" t="s">
        <v>2031</v>
      </c>
      <c r="K753" t="s">
        <v>2036</v>
      </c>
    </row>
    <row r="754" spans="1:11" x14ac:dyDescent="0.3">
      <c r="A754" s="6" t="s">
        <v>763</v>
      </c>
      <c r="B754" t="s">
        <v>1761</v>
      </c>
      <c r="C754" t="s">
        <v>2008</v>
      </c>
      <c r="D754">
        <v>15</v>
      </c>
      <c r="E754" t="s">
        <v>2013</v>
      </c>
      <c r="F754" t="s">
        <v>2016</v>
      </c>
      <c r="G754" t="s">
        <v>2021</v>
      </c>
      <c r="H754" t="s">
        <v>2023</v>
      </c>
      <c r="I754">
        <v>87</v>
      </c>
      <c r="J754" t="s">
        <v>2030</v>
      </c>
      <c r="K754" t="s">
        <v>2035</v>
      </c>
    </row>
    <row r="755" spans="1:11" x14ac:dyDescent="0.3">
      <c r="A755" s="6" t="s">
        <v>764</v>
      </c>
      <c r="B755" t="s">
        <v>1762</v>
      </c>
      <c r="C755" t="s">
        <v>2007</v>
      </c>
      <c r="D755">
        <v>17</v>
      </c>
      <c r="E755" t="s">
        <v>2009</v>
      </c>
      <c r="F755" t="s">
        <v>2014</v>
      </c>
      <c r="G755" t="s">
        <v>2022</v>
      </c>
      <c r="H755" t="s">
        <v>2023</v>
      </c>
      <c r="I755">
        <v>81</v>
      </c>
      <c r="J755" t="s">
        <v>2026</v>
      </c>
      <c r="K755" t="s">
        <v>2035</v>
      </c>
    </row>
    <row r="756" spans="1:11" x14ac:dyDescent="0.3">
      <c r="A756" s="6" t="s">
        <v>765</v>
      </c>
      <c r="B756" t="s">
        <v>1763</v>
      </c>
      <c r="C756" t="s">
        <v>2007</v>
      </c>
      <c r="D756">
        <v>18</v>
      </c>
      <c r="E756" t="s">
        <v>2013</v>
      </c>
      <c r="F756" t="s">
        <v>2017</v>
      </c>
      <c r="G756" t="s">
        <v>2021</v>
      </c>
      <c r="H756" t="s">
        <v>2023</v>
      </c>
      <c r="I756">
        <v>25</v>
      </c>
      <c r="J756" t="s">
        <v>2028</v>
      </c>
      <c r="K756" t="s">
        <v>2036</v>
      </c>
    </row>
    <row r="757" spans="1:11" x14ac:dyDescent="0.3">
      <c r="A757" s="6" t="s">
        <v>766</v>
      </c>
      <c r="B757" t="s">
        <v>1764</v>
      </c>
      <c r="C757" t="s">
        <v>2008</v>
      </c>
      <c r="D757">
        <v>16</v>
      </c>
      <c r="E757" t="s">
        <v>2009</v>
      </c>
      <c r="F757" t="s">
        <v>2015</v>
      </c>
      <c r="G757" t="s">
        <v>2021</v>
      </c>
      <c r="H757" t="s">
        <v>2023</v>
      </c>
      <c r="I757">
        <v>26</v>
      </c>
      <c r="J757" t="s">
        <v>2026</v>
      </c>
      <c r="K757" t="s">
        <v>2036</v>
      </c>
    </row>
    <row r="758" spans="1:11" x14ac:dyDescent="0.3">
      <c r="A758" s="6" t="s">
        <v>767</v>
      </c>
      <c r="B758" t="s">
        <v>1765</v>
      </c>
      <c r="C758" t="s">
        <v>2007</v>
      </c>
      <c r="D758">
        <v>15</v>
      </c>
      <c r="E758" t="s">
        <v>2012</v>
      </c>
      <c r="F758" t="s">
        <v>2016</v>
      </c>
      <c r="G758" t="s">
        <v>2018</v>
      </c>
      <c r="H758" t="s">
        <v>2024</v>
      </c>
      <c r="I758">
        <v>54</v>
      </c>
      <c r="J758" t="s">
        <v>2030</v>
      </c>
      <c r="K758" t="s">
        <v>2035</v>
      </c>
    </row>
    <row r="759" spans="1:11" x14ac:dyDescent="0.3">
      <c r="A759" s="6" t="s">
        <v>768</v>
      </c>
      <c r="B759" t="s">
        <v>1766</v>
      </c>
      <c r="C759" t="s">
        <v>2007</v>
      </c>
      <c r="D759">
        <v>18</v>
      </c>
      <c r="E759" t="s">
        <v>2012</v>
      </c>
      <c r="F759" t="s">
        <v>2017</v>
      </c>
      <c r="G759" t="s">
        <v>2022</v>
      </c>
      <c r="H759" t="s">
        <v>2023</v>
      </c>
      <c r="I759">
        <v>38</v>
      </c>
      <c r="J759" t="s">
        <v>2028</v>
      </c>
      <c r="K759" t="s">
        <v>2036</v>
      </c>
    </row>
    <row r="760" spans="1:11" x14ac:dyDescent="0.3">
      <c r="A760" s="6" t="s">
        <v>769</v>
      </c>
      <c r="B760" t="s">
        <v>1767</v>
      </c>
      <c r="C760" t="s">
        <v>2007</v>
      </c>
      <c r="D760">
        <v>17</v>
      </c>
      <c r="E760" t="s">
        <v>2010</v>
      </c>
      <c r="F760" t="s">
        <v>2016</v>
      </c>
      <c r="G760" t="s">
        <v>2021</v>
      </c>
      <c r="H760" t="s">
        <v>2023</v>
      </c>
      <c r="I760">
        <v>18</v>
      </c>
      <c r="J760" t="s">
        <v>2034</v>
      </c>
      <c r="K760" t="s">
        <v>2036</v>
      </c>
    </row>
    <row r="761" spans="1:11" x14ac:dyDescent="0.3">
      <c r="A761" s="6" t="s">
        <v>770</v>
      </c>
      <c r="B761" t="s">
        <v>1768</v>
      </c>
      <c r="C761" t="s">
        <v>2008</v>
      </c>
      <c r="D761">
        <v>15</v>
      </c>
      <c r="E761" t="s">
        <v>2011</v>
      </c>
      <c r="F761" t="s">
        <v>2017</v>
      </c>
      <c r="G761" t="s">
        <v>2022</v>
      </c>
      <c r="H761" t="s">
        <v>2024</v>
      </c>
      <c r="I761">
        <v>18</v>
      </c>
      <c r="J761" t="s">
        <v>2033</v>
      </c>
      <c r="K761" t="s">
        <v>2036</v>
      </c>
    </row>
    <row r="762" spans="1:11" x14ac:dyDescent="0.3">
      <c r="A762" s="6" t="s">
        <v>771</v>
      </c>
      <c r="B762" t="s">
        <v>1769</v>
      </c>
      <c r="C762" t="s">
        <v>2008</v>
      </c>
      <c r="D762">
        <v>17</v>
      </c>
      <c r="E762" t="s">
        <v>2012</v>
      </c>
      <c r="F762" t="s">
        <v>2014</v>
      </c>
      <c r="G762" t="s">
        <v>2021</v>
      </c>
      <c r="H762" t="s">
        <v>2023</v>
      </c>
      <c r="I762">
        <v>9</v>
      </c>
      <c r="J762" t="s">
        <v>2030</v>
      </c>
      <c r="K762" t="s">
        <v>2036</v>
      </c>
    </row>
    <row r="763" spans="1:11" x14ac:dyDescent="0.3">
      <c r="A763" s="6" t="s">
        <v>772</v>
      </c>
      <c r="B763" t="s">
        <v>1770</v>
      </c>
      <c r="C763" t="s">
        <v>2007</v>
      </c>
      <c r="D763">
        <v>14</v>
      </c>
      <c r="E763" t="s">
        <v>2010</v>
      </c>
      <c r="F763" t="s">
        <v>2014</v>
      </c>
      <c r="G763" t="s">
        <v>2019</v>
      </c>
      <c r="H763" t="s">
        <v>2023</v>
      </c>
      <c r="I763">
        <v>81</v>
      </c>
      <c r="J763" t="s">
        <v>2030</v>
      </c>
      <c r="K763" t="s">
        <v>2035</v>
      </c>
    </row>
    <row r="764" spans="1:11" x14ac:dyDescent="0.3">
      <c r="A764" s="6" t="s">
        <v>773</v>
      </c>
      <c r="B764" t="s">
        <v>1771</v>
      </c>
      <c r="C764" t="s">
        <v>2008</v>
      </c>
      <c r="D764">
        <v>18</v>
      </c>
      <c r="E764" t="s">
        <v>2012</v>
      </c>
      <c r="F764" t="s">
        <v>2016</v>
      </c>
      <c r="G764" t="s">
        <v>2020</v>
      </c>
      <c r="H764" t="s">
        <v>2023</v>
      </c>
      <c r="I764">
        <v>95</v>
      </c>
      <c r="J764" t="s">
        <v>2030</v>
      </c>
      <c r="K764" t="s">
        <v>2035</v>
      </c>
    </row>
    <row r="765" spans="1:11" x14ac:dyDescent="0.3">
      <c r="A765" s="6" t="s">
        <v>774</v>
      </c>
      <c r="B765" t="s">
        <v>1772</v>
      </c>
      <c r="C765" t="s">
        <v>2007</v>
      </c>
      <c r="D765">
        <v>14</v>
      </c>
      <c r="E765" t="s">
        <v>2012</v>
      </c>
      <c r="F765" t="s">
        <v>2016</v>
      </c>
      <c r="G765" t="s">
        <v>2018</v>
      </c>
      <c r="H765" t="s">
        <v>2023</v>
      </c>
      <c r="I765">
        <v>49</v>
      </c>
      <c r="J765" t="s">
        <v>2032</v>
      </c>
      <c r="K765" t="s">
        <v>2036</v>
      </c>
    </row>
    <row r="766" spans="1:11" x14ac:dyDescent="0.3">
      <c r="A766" s="6" t="s">
        <v>775</v>
      </c>
      <c r="B766" t="s">
        <v>1773</v>
      </c>
      <c r="C766" t="s">
        <v>2008</v>
      </c>
      <c r="D766">
        <v>17</v>
      </c>
      <c r="E766" t="s">
        <v>2013</v>
      </c>
      <c r="F766" t="s">
        <v>2015</v>
      </c>
      <c r="G766" t="s">
        <v>2018</v>
      </c>
      <c r="H766" t="s">
        <v>2024</v>
      </c>
      <c r="I766">
        <v>69</v>
      </c>
      <c r="J766" t="s">
        <v>2026</v>
      </c>
      <c r="K766" t="s">
        <v>2035</v>
      </c>
    </row>
    <row r="767" spans="1:11" x14ac:dyDescent="0.3">
      <c r="A767" s="6" t="s">
        <v>776</v>
      </c>
      <c r="B767" t="s">
        <v>1774</v>
      </c>
      <c r="C767" t="s">
        <v>2008</v>
      </c>
      <c r="D767">
        <v>16</v>
      </c>
      <c r="E767" t="s">
        <v>2011</v>
      </c>
      <c r="F767" t="s">
        <v>2016</v>
      </c>
      <c r="G767" t="s">
        <v>2019</v>
      </c>
      <c r="H767" t="s">
        <v>2024</v>
      </c>
      <c r="I767">
        <v>72</v>
      </c>
      <c r="J767" t="s">
        <v>2028</v>
      </c>
      <c r="K767" t="s">
        <v>2035</v>
      </c>
    </row>
    <row r="768" spans="1:11" x14ac:dyDescent="0.3">
      <c r="A768" s="6" t="s">
        <v>777</v>
      </c>
      <c r="B768" t="s">
        <v>1775</v>
      </c>
      <c r="C768" t="s">
        <v>2008</v>
      </c>
      <c r="D768">
        <v>15</v>
      </c>
      <c r="E768" t="s">
        <v>2013</v>
      </c>
      <c r="F768" t="s">
        <v>2015</v>
      </c>
      <c r="G768" t="s">
        <v>2021</v>
      </c>
      <c r="H768" t="s">
        <v>2023</v>
      </c>
      <c r="I768">
        <v>95</v>
      </c>
      <c r="J768" t="s">
        <v>2030</v>
      </c>
      <c r="K768" t="s">
        <v>2035</v>
      </c>
    </row>
    <row r="769" spans="1:11" x14ac:dyDescent="0.3">
      <c r="A769" s="6" t="s">
        <v>778</v>
      </c>
      <c r="B769" t="s">
        <v>1776</v>
      </c>
      <c r="C769" t="s">
        <v>2008</v>
      </c>
      <c r="D769">
        <v>17</v>
      </c>
      <c r="E769" t="s">
        <v>2013</v>
      </c>
      <c r="F769" t="s">
        <v>2017</v>
      </c>
      <c r="G769" t="s">
        <v>2018</v>
      </c>
      <c r="H769" t="s">
        <v>2023</v>
      </c>
      <c r="I769">
        <v>57</v>
      </c>
      <c r="J769" t="s">
        <v>2025</v>
      </c>
      <c r="K769" t="s">
        <v>2035</v>
      </c>
    </row>
    <row r="770" spans="1:11" x14ac:dyDescent="0.3">
      <c r="A770" s="6" t="s">
        <v>779</v>
      </c>
      <c r="B770" t="s">
        <v>1777</v>
      </c>
      <c r="C770" t="s">
        <v>2007</v>
      </c>
      <c r="D770">
        <v>16</v>
      </c>
      <c r="E770" t="s">
        <v>2009</v>
      </c>
      <c r="F770" t="s">
        <v>2017</v>
      </c>
      <c r="G770" t="s">
        <v>2019</v>
      </c>
      <c r="H770" t="s">
        <v>2023</v>
      </c>
      <c r="I770">
        <v>35</v>
      </c>
      <c r="J770" t="s">
        <v>2033</v>
      </c>
      <c r="K770" t="s">
        <v>2036</v>
      </c>
    </row>
    <row r="771" spans="1:11" x14ac:dyDescent="0.3">
      <c r="A771" s="6" t="s">
        <v>780</v>
      </c>
      <c r="B771" t="s">
        <v>1778</v>
      </c>
      <c r="C771" t="s">
        <v>2007</v>
      </c>
      <c r="D771">
        <v>15</v>
      </c>
      <c r="E771" t="s">
        <v>2009</v>
      </c>
      <c r="F771" t="s">
        <v>2015</v>
      </c>
      <c r="G771" t="s">
        <v>2021</v>
      </c>
      <c r="H771" t="s">
        <v>2024</v>
      </c>
      <c r="I771">
        <v>11</v>
      </c>
      <c r="J771" t="s">
        <v>2026</v>
      </c>
      <c r="K771" t="s">
        <v>2036</v>
      </c>
    </row>
    <row r="772" spans="1:11" x14ac:dyDescent="0.3">
      <c r="A772" s="6" t="s">
        <v>781</v>
      </c>
      <c r="B772" t="s">
        <v>1779</v>
      </c>
      <c r="C772" t="s">
        <v>2007</v>
      </c>
      <c r="D772">
        <v>18</v>
      </c>
      <c r="E772" t="s">
        <v>2012</v>
      </c>
      <c r="F772" t="s">
        <v>2017</v>
      </c>
      <c r="G772" t="s">
        <v>2022</v>
      </c>
      <c r="H772" t="s">
        <v>2023</v>
      </c>
      <c r="I772">
        <v>57</v>
      </c>
      <c r="J772" t="s">
        <v>2031</v>
      </c>
      <c r="K772" t="s">
        <v>2035</v>
      </c>
    </row>
    <row r="773" spans="1:11" x14ac:dyDescent="0.3">
      <c r="A773" s="6" t="s">
        <v>782</v>
      </c>
      <c r="B773" t="s">
        <v>1780</v>
      </c>
      <c r="C773" t="s">
        <v>2007</v>
      </c>
      <c r="D773">
        <v>15</v>
      </c>
      <c r="E773" t="s">
        <v>2009</v>
      </c>
      <c r="F773" t="s">
        <v>2015</v>
      </c>
      <c r="G773" t="s">
        <v>2021</v>
      </c>
      <c r="H773" t="s">
        <v>2023</v>
      </c>
      <c r="I773">
        <v>43</v>
      </c>
      <c r="J773" t="s">
        <v>2027</v>
      </c>
      <c r="K773" t="s">
        <v>2036</v>
      </c>
    </row>
    <row r="774" spans="1:11" x14ac:dyDescent="0.3">
      <c r="A774" s="6" t="s">
        <v>783</v>
      </c>
      <c r="B774" t="s">
        <v>1781</v>
      </c>
      <c r="C774" t="s">
        <v>2008</v>
      </c>
      <c r="D774">
        <v>14</v>
      </c>
      <c r="E774" t="s">
        <v>2011</v>
      </c>
      <c r="F774" t="s">
        <v>2016</v>
      </c>
      <c r="G774" t="s">
        <v>2022</v>
      </c>
      <c r="H774" t="s">
        <v>2023</v>
      </c>
      <c r="I774">
        <v>94</v>
      </c>
      <c r="J774" t="s">
        <v>2033</v>
      </c>
      <c r="K774" t="s">
        <v>2035</v>
      </c>
    </row>
    <row r="775" spans="1:11" x14ac:dyDescent="0.3">
      <c r="A775" s="6" t="s">
        <v>784</v>
      </c>
      <c r="B775" t="s">
        <v>1782</v>
      </c>
      <c r="C775" t="s">
        <v>2008</v>
      </c>
      <c r="D775">
        <v>17</v>
      </c>
      <c r="E775" t="s">
        <v>2012</v>
      </c>
      <c r="F775" t="s">
        <v>2017</v>
      </c>
      <c r="G775" t="s">
        <v>2022</v>
      </c>
      <c r="H775" t="s">
        <v>2023</v>
      </c>
      <c r="I775">
        <v>86</v>
      </c>
      <c r="J775" t="s">
        <v>2033</v>
      </c>
      <c r="K775" t="s">
        <v>2035</v>
      </c>
    </row>
    <row r="776" spans="1:11" x14ac:dyDescent="0.3">
      <c r="A776" s="6" t="s">
        <v>785</v>
      </c>
      <c r="B776" t="s">
        <v>1783</v>
      </c>
      <c r="C776" t="s">
        <v>2007</v>
      </c>
      <c r="D776">
        <v>18</v>
      </c>
      <c r="E776" t="s">
        <v>2010</v>
      </c>
      <c r="F776" t="s">
        <v>2014</v>
      </c>
      <c r="G776" t="s">
        <v>2021</v>
      </c>
      <c r="H776" t="s">
        <v>2024</v>
      </c>
      <c r="I776">
        <v>43</v>
      </c>
      <c r="J776" t="s">
        <v>2031</v>
      </c>
      <c r="K776" t="s">
        <v>2036</v>
      </c>
    </row>
    <row r="777" spans="1:11" x14ac:dyDescent="0.3">
      <c r="A777" s="6" t="s">
        <v>786</v>
      </c>
      <c r="B777" t="s">
        <v>1784</v>
      </c>
      <c r="C777" t="s">
        <v>2007</v>
      </c>
      <c r="D777">
        <v>17</v>
      </c>
      <c r="E777" t="s">
        <v>2010</v>
      </c>
      <c r="F777" t="s">
        <v>2016</v>
      </c>
      <c r="G777" t="s">
        <v>2022</v>
      </c>
      <c r="H777" t="s">
        <v>2023</v>
      </c>
      <c r="I777">
        <v>87</v>
      </c>
      <c r="J777" t="s">
        <v>2026</v>
      </c>
      <c r="K777" t="s">
        <v>2035</v>
      </c>
    </row>
    <row r="778" spans="1:11" x14ac:dyDescent="0.3">
      <c r="A778" s="6" t="s">
        <v>787</v>
      </c>
      <c r="B778" t="s">
        <v>1785</v>
      </c>
      <c r="C778" t="s">
        <v>2008</v>
      </c>
      <c r="D778">
        <v>14</v>
      </c>
      <c r="E778" t="s">
        <v>2013</v>
      </c>
      <c r="F778" t="s">
        <v>2017</v>
      </c>
      <c r="G778" t="s">
        <v>2019</v>
      </c>
      <c r="H778" t="s">
        <v>2024</v>
      </c>
      <c r="I778">
        <v>28</v>
      </c>
      <c r="J778" t="s">
        <v>2032</v>
      </c>
      <c r="K778" t="s">
        <v>2036</v>
      </c>
    </row>
    <row r="779" spans="1:11" x14ac:dyDescent="0.3">
      <c r="A779" s="6" t="s">
        <v>788</v>
      </c>
      <c r="B779" t="s">
        <v>1786</v>
      </c>
      <c r="C779" t="s">
        <v>2007</v>
      </c>
      <c r="D779">
        <v>18</v>
      </c>
      <c r="E779" t="s">
        <v>2013</v>
      </c>
      <c r="F779" t="s">
        <v>2016</v>
      </c>
      <c r="G779" t="s">
        <v>2019</v>
      </c>
      <c r="H779" t="s">
        <v>2024</v>
      </c>
      <c r="I779">
        <v>3</v>
      </c>
      <c r="J779" t="s">
        <v>2027</v>
      </c>
      <c r="K779" t="s">
        <v>2036</v>
      </c>
    </row>
    <row r="780" spans="1:11" x14ac:dyDescent="0.3">
      <c r="A780" s="6" t="s">
        <v>789</v>
      </c>
      <c r="B780" t="s">
        <v>1787</v>
      </c>
      <c r="C780" t="s">
        <v>2008</v>
      </c>
      <c r="D780">
        <v>18</v>
      </c>
      <c r="E780" t="s">
        <v>2012</v>
      </c>
      <c r="F780" t="s">
        <v>2014</v>
      </c>
      <c r="G780" t="s">
        <v>2020</v>
      </c>
      <c r="H780" t="s">
        <v>2023</v>
      </c>
      <c r="I780">
        <v>16</v>
      </c>
      <c r="J780" t="s">
        <v>2033</v>
      </c>
      <c r="K780" t="s">
        <v>2036</v>
      </c>
    </row>
    <row r="781" spans="1:11" x14ac:dyDescent="0.3">
      <c r="A781" s="6" t="s">
        <v>790</v>
      </c>
      <c r="B781" t="s">
        <v>1788</v>
      </c>
      <c r="C781" t="s">
        <v>2007</v>
      </c>
      <c r="D781">
        <v>18</v>
      </c>
      <c r="E781" t="s">
        <v>2009</v>
      </c>
      <c r="F781" t="s">
        <v>2014</v>
      </c>
      <c r="G781" t="s">
        <v>2022</v>
      </c>
      <c r="H781" t="s">
        <v>2024</v>
      </c>
      <c r="I781">
        <v>75</v>
      </c>
      <c r="J781" t="s">
        <v>2033</v>
      </c>
      <c r="K781" t="s">
        <v>2035</v>
      </c>
    </row>
    <row r="782" spans="1:11" x14ac:dyDescent="0.3">
      <c r="A782" s="6" t="s">
        <v>791</v>
      </c>
      <c r="B782" t="s">
        <v>1789</v>
      </c>
      <c r="C782" t="s">
        <v>2007</v>
      </c>
      <c r="D782">
        <v>16</v>
      </c>
      <c r="E782" t="s">
        <v>2010</v>
      </c>
      <c r="F782" t="s">
        <v>2016</v>
      </c>
      <c r="G782" t="s">
        <v>2021</v>
      </c>
      <c r="H782" t="s">
        <v>2024</v>
      </c>
      <c r="I782">
        <v>25</v>
      </c>
      <c r="J782" t="s">
        <v>2029</v>
      </c>
      <c r="K782" t="s">
        <v>2036</v>
      </c>
    </row>
    <row r="783" spans="1:11" x14ac:dyDescent="0.3">
      <c r="A783" s="6" t="s">
        <v>792</v>
      </c>
      <c r="B783" t="s">
        <v>1790</v>
      </c>
      <c r="C783" t="s">
        <v>2007</v>
      </c>
      <c r="D783">
        <v>17</v>
      </c>
      <c r="E783" t="s">
        <v>2011</v>
      </c>
      <c r="F783" t="s">
        <v>2017</v>
      </c>
      <c r="G783" t="s">
        <v>2018</v>
      </c>
      <c r="H783" t="s">
        <v>2023</v>
      </c>
      <c r="I783">
        <v>50</v>
      </c>
      <c r="J783" t="s">
        <v>2027</v>
      </c>
      <c r="K783" t="s">
        <v>2035</v>
      </c>
    </row>
    <row r="784" spans="1:11" x14ac:dyDescent="0.3">
      <c r="A784" s="6" t="s">
        <v>793</v>
      </c>
      <c r="B784" t="s">
        <v>1791</v>
      </c>
      <c r="C784" t="s">
        <v>2007</v>
      </c>
      <c r="D784">
        <v>18</v>
      </c>
      <c r="E784" t="s">
        <v>2010</v>
      </c>
      <c r="F784" t="s">
        <v>2016</v>
      </c>
      <c r="G784" t="s">
        <v>2018</v>
      </c>
      <c r="H784" t="s">
        <v>2023</v>
      </c>
      <c r="I784">
        <v>100</v>
      </c>
      <c r="J784" t="s">
        <v>2032</v>
      </c>
      <c r="K784" t="s">
        <v>2035</v>
      </c>
    </row>
    <row r="785" spans="1:11" x14ac:dyDescent="0.3">
      <c r="A785" s="6" t="s">
        <v>794</v>
      </c>
      <c r="B785" t="s">
        <v>1792</v>
      </c>
      <c r="C785" t="s">
        <v>2007</v>
      </c>
      <c r="D785">
        <v>16</v>
      </c>
      <c r="E785" t="s">
        <v>2012</v>
      </c>
      <c r="F785" t="s">
        <v>2015</v>
      </c>
      <c r="G785" t="s">
        <v>2018</v>
      </c>
      <c r="H785" t="s">
        <v>2023</v>
      </c>
      <c r="I785">
        <v>40</v>
      </c>
      <c r="J785" t="s">
        <v>2029</v>
      </c>
      <c r="K785" t="s">
        <v>2036</v>
      </c>
    </row>
    <row r="786" spans="1:11" x14ac:dyDescent="0.3">
      <c r="A786" s="6" t="s">
        <v>795</v>
      </c>
      <c r="B786" t="s">
        <v>1793</v>
      </c>
      <c r="C786" t="s">
        <v>2007</v>
      </c>
      <c r="D786">
        <v>15</v>
      </c>
      <c r="E786" t="s">
        <v>2011</v>
      </c>
      <c r="F786" t="s">
        <v>2014</v>
      </c>
      <c r="G786" t="s">
        <v>2021</v>
      </c>
      <c r="H786" t="s">
        <v>2023</v>
      </c>
      <c r="I786">
        <v>10</v>
      </c>
      <c r="J786" t="s">
        <v>2026</v>
      </c>
      <c r="K786" t="s">
        <v>2036</v>
      </c>
    </row>
    <row r="787" spans="1:11" x14ac:dyDescent="0.3">
      <c r="A787" s="6" t="s">
        <v>796</v>
      </c>
      <c r="B787" t="s">
        <v>1794</v>
      </c>
      <c r="C787" t="s">
        <v>2008</v>
      </c>
      <c r="D787">
        <v>15</v>
      </c>
      <c r="E787" t="s">
        <v>2013</v>
      </c>
      <c r="F787" t="s">
        <v>2017</v>
      </c>
      <c r="G787" t="s">
        <v>2019</v>
      </c>
      <c r="H787" t="s">
        <v>2023</v>
      </c>
      <c r="I787">
        <v>86</v>
      </c>
      <c r="J787" t="s">
        <v>2028</v>
      </c>
      <c r="K787" t="s">
        <v>2035</v>
      </c>
    </row>
    <row r="788" spans="1:11" x14ac:dyDescent="0.3">
      <c r="A788" s="6" t="s">
        <v>797</v>
      </c>
      <c r="B788" t="s">
        <v>1795</v>
      </c>
      <c r="C788" t="s">
        <v>2007</v>
      </c>
      <c r="D788">
        <v>16</v>
      </c>
      <c r="E788" t="s">
        <v>2010</v>
      </c>
      <c r="F788" t="s">
        <v>2014</v>
      </c>
      <c r="G788" t="s">
        <v>2018</v>
      </c>
      <c r="H788" t="s">
        <v>2024</v>
      </c>
      <c r="I788">
        <v>48</v>
      </c>
      <c r="J788" t="s">
        <v>2032</v>
      </c>
      <c r="K788" t="s">
        <v>2036</v>
      </c>
    </row>
    <row r="789" spans="1:11" x14ac:dyDescent="0.3">
      <c r="A789" s="6" t="s">
        <v>798</v>
      </c>
      <c r="B789" t="s">
        <v>1796</v>
      </c>
      <c r="C789" t="s">
        <v>2008</v>
      </c>
      <c r="D789">
        <v>17</v>
      </c>
      <c r="E789" t="s">
        <v>2011</v>
      </c>
      <c r="F789" t="s">
        <v>2014</v>
      </c>
      <c r="G789" t="s">
        <v>2022</v>
      </c>
      <c r="H789" t="s">
        <v>2023</v>
      </c>
      <c r="I789">
        <v>91</v>
      </c>
      <c r="J789" t="s">
        <v>2030</v>
      </c>
      <c r="K789" t="s">
        <v>2035</v>
      </c>
    </row>
    <row r="790" spans="1:11" x14ac:dyDescent="0.3">
      <c r="A790" s="6" t="s">
        <v>799</v>
      </c>
      <c r="B790" t="s">
        <v>1797</v>
      </c>
      <c r="C790" t="s">
        <v>2008</v>
      </c>
      <c r="D790">
        <v>16</v>
      </c>
      <c r="E790" t="s">
        <v>2009</v>
      </c>
      <c r="F790" t="s">
        <v>2017</v>
      </c>
      <c r="G790" t="s">
        <v>2021</v>
      </c>
      <c r="H790" t="s">
        <v>2023</v>
      </c>
      <c r="I790">
        <v>83</v>
      </c>
      <c r="J790" t="s">
        <v>2031</v>
      </c>
      <c r="K790" t="s">
        <v>2035</v>
      </c>
    </row>
    <row r="791" spans="1:11" x14ac:dyDescent="0.3">
      <c r="A791" s="6" t="s">
        <v>800</v>
      </c>
      <c r="B791" t="s">
        <v>1798</v>
      </c>
      <c r="C791" t="s">
        <v>2007</v>
      </c>
      <c r="D791">
        <v>15</v>
      </c>
      <c r="E791" t="s">
        <v>2012</v>
      </c>
      <c r="F791" t="s">
        <v>2016</v>
      </c>
      <c r="G791" t="s">
        <v>2022</v>
      </c>
      <c r="H791" t="s">
        <v>2024</v>
      </c>
      <c r="I791">
        <v>28</v>
      </c>
      <c r="J791" t="s">
        <v>2034</v>
      </c>
      <c r="K791" t="s">
        <v>2036</v>
      </c>
    </row>
    <row r="792" spans="1:11" x14ac:dyDescent="0.3">
      <c r="A792" s="6" t="s">
        <v>801</v>
      </c>
      <c r="B792" t="s">
        <v>1799</v>
      </c>
      <c r="C792" t="s">
        <v>2007</v>
      </c>
      <c r="D792">
        <v>15</v>
      </c>
      <c r="E792" t="s">
        <v>2013</v>
      </c>
      <c r="F792" t="s">
        <v>2016</v>
      </c>
      <c r="G792" t="s">
        <v>2021</v>
      </c>
      <c r="H792" t="s">
        <v>2024</v>
      </c>
      <c r="I792">
        <v>52</v>
      </c>
      <c r="J792" t="s">
        <v>2032</v>
      </c>
      <c r="K792" t="s">
        <v>2035</v>
      </c>
    </row>
    <row r="793" spans="1:11" x14ac:dyDescent="0.3">
      <c r="A793" s="6" t="s">
        <v>802</v>
      </c>
      <c r="B793" t="s">
        <v>1800</v>
      </c>
      <c r="C793" t="s">
        <v>2008</v>
      </c>
      <c r="D793">
        <v>14</v>
      </c>
      <c r="E793" t="s">
        <v>2013</v>
      </c>
      <c r="F793" t="s">
        <v>2016</v>
      </c>
      <c r="G793" t="s">
        <v>2019</v>
      </c>
      <c r="H793" t="s">
        <v>2023</v>
      </c>
      <c r="I793">
        <v>39</v>
      </c>
      <c r="J793" t="s">
        <v>2026</v>
      </c>
      <c r="K793" t="s">
        <v>2036</v>
      </c>
    </row>
    <row r="794" spans="1:11" x14ac:dyDescent="0.3">
      <c r="A794" s="6" t="s">
        <v>803</v>
      </c>
      <c r="B794" t="s">
        <v>1801</v>
      </c>
      <c r="C794" t="s">
        <v>2008</v>
      </c>
      <c r="D794">
        <v>15</v>
      </c>
      <c r="E794" t="s">
        <v>2012</v>
      </c>
      <c r="F794" t="s">
        <v>2014</v>
      </c>
      <c r="G794" t="s">
        <v>2022</v>
      </c>
      <c r="H794" t="s">
        <v>2024</v>
      </c>
      <c r="I794">
        <v>90</v>
      </c>
      <c r="J794" t="s">
        <v>2028</v>
      </c>
      <c r="K794" t="s">
        <v>2035</v>
      </c>
    </row>
    <row r="795" spans="1:11" x14ac:dyDescent="0.3">
      <c r="A795" s="6" t="s">
        <v>804</v>
      </c>
      <c r="B795" t="s">
        <v>1361</v>
      </c>
      <c r="C795" t="s">
        <v>2008</v>
      </c>
      <c r="D795">
        <v>14</v>
      </c>
      <c r="E795" t="s">
        <v>2011</v>
      </c>
      <c r="F795" t="s">
        <v>2017</v>
      </c>
      <c r="G795" t="s">
        <v>2019</v>
      </c>
      <c r="H795" t="s">
        <v>2024</v>
      </c>
      <c r="I795">
        <v>61</v>
      </c>
      <c r="J795" t="s">
        <v>2029</v>
      </c>
      <c r="K795" t="s">
        <v>2035</v>
      </c>
    </row>
    <row r="796" spans="1:11" x14ac:dyDescent="0.3">
      <c r="A796" s="6" t="s">
        <v>805</v>
      </c>
      <c r="B796" t="s">
        <v>1802</v>
      </c>
      <c r="C796" t="s">
        <v>2008</v>
      </c>
      <c r="D796">
        <v>15</v>
      </c>
      <c r="E796" t="s">
        <v>2011</v>
      </c>
      <c r="F796" t="s">
        <v>2014</v>
      </c>
      <c r="G796" t="s">
        <v>2022</v>
      </c>
      <c r="H796" t="s">
        <v>2023</v>
      </c>
      <c r="I796">
        <v>12</v>
      </c>
      <c r="J796" t="s">
        <v>2033</v>
      </c>
      <c r="K796" t="s">
        <v>2036</v>
      </c>
    </row>
    <row r="797" spans="1:11" x14ac:dyDescent="0.3">
      <c r="A797" s="6" t="s">
        <v>806</v>
      </c>
      <c r="B797" t="s">
        <v>1803</v>
      </c>
      <c r="C797" t="s">
        <v>2007</v>
      </c>
      <c r="D797">
        <v>17</v>
      </c>
      <c r="E797" t="s">
        <v>2010</v>
      </c>
      <c r="F797" t="s">
        <v>2015</v>
      </c>
      <c r="G797" t="s">
        <v>2022</v>
      </c>
      <c r="H797" t="s">
        <v>2024</v>
      </c>
      <c r="I797">
        <v>52</v>
      </c>
      <c r="J797" t="s">
        <v>2025</v>
      </c>
      <c r="K797" t="s">
        <v>2035</v>
      </c>
    </row>
    <row r="798" spans="1:11" x14ac:dyDescent="0.3">
      <c r="A798" s="6" t="s">
        <v>807</v>
      </c>
      <c r="B798" t="s">
        <v>1804</v>
      </c>
      <c r="C798" t="s">
        <v>2007</v>
      </c>
      <c r="D798">
        <v>16</v>
      </c>
      <c r="E798" t="s">
        <v>2012</v>
      </c>
      <c r="F798" t="s">
        <v>2016</v>
      </c>
      <c r="G798" t="s">
        <v>2021</v>
      </c>
      <c r="H798" t="s">
        <v>2024</v>
      </c>
      <c r="I798">
        <v>81</v>
      </c>
      <c r="J798" t="s">
        <v>2032</v>
      </c>
      <c r="K798" t="s">
        <v>2035</v>
      </c>
    </row>
    <row r="799" spans="1:11" x14ac:dyDescent="0.3">
      <c r="A799" s="6" t="s">
        <v>808</v>
      </c>
      <c r="B799" t="s">
        <v>1805</v>
      </c>
      <c r="C799" t="s">
        <v>2007</v>
      </c>
      <c r="D799">
        <v>17</v>
      </c>
      <c r="E799" t="s">
        <v>2013</v>
      </c>
      <c r="F799" t="s">
        <v>2017</v>
      </c>
      <c r="G799" t="s">
        <v>2019</v>
      </c>
      <c r="H799" t="s">
        <v>2024</v>
      </c>
      <c r="I799">
        <v>2</v>
      </c>
      <c r="J799" t="s">
        <v>2031</v>
      </c>
      <c r="K799" t="s">
        <v>2036</v>
      </c>
    </row>
    <row r="800" spans="1:11" x14ac:dyDescent="0.3">
      <c r="A800" s="6" t="s">
        <v>809</v>
      </c>
      <c r="B800" t="s">
        <v>1806</v>
      </c>
      <c r="C800" t="s">
        <v>2008</v>
      </c>
      <c r="D800">
        <v>17</v>
      </c>
      <c r="E800" t="s">
        <v>2009</v>
      </c>
      <c r="F800" t="s">
        <v>2017</v>
      </c>
      <c r="G800" t="s">
        <v>2018</v>
      </c>
      <c r="H800" t="s">
        <v>2024</v>
      </c>
      <c r="I800">
        <v>29</v>
      </c>
      <c r="J800" t="s">
        <v>2029</v>
      </c>
      <c r="K800" t="s">
        <v>2036</v>
      </c>
    </row>
    <row r="801" spans="1:11" x14ac:dyDescent="0.3">
      <c r="A801" s="6" t="s">
        <v>810</v>
      </c>
      <c r="B801" t="s">
        <v>1807</v>
      </c>
      <c r="C801" t="s">
        <v>2008</v>
      </c>
      <c r="D801">
        <v>18</v>
      </c>
      <c r="E801" t="s">
        <v>2013</v>
      </c>
      <c r="F801" t="s">
        <v>2015</v>
      </c>
      <c r="G801" t="s">
        <v>2020</v>
      </c>
      <c r="H801" t="s">
        <v>2023</v>
      </c>
      <c r="I801">
        <v>100</v>
      </c>
      <c r="J801" t="s">
        <v>2032</v>
      </c>
      <c r="K801" t="s">
        <v>2035</v>
      </c>
    </row>
    <row r="802" spans="1:11" x14ac:dyDescent="0.3">
      <c r="A802" s="6" t="s">
        <v>811</v>
      </c>
      <c r="B802" t="s">
        <v>1808</v>
      </c>
      <c r="C802" t="s">
        <v>2007</v>
      </c>
      <c r="D802">
        <v>18</v>
      </c>
      <c r="E802" t="s">
        <v>2013</v>
      </c>
      <c r="F802" t="s">
        <v>2014</v>
      </c>
      <c r="G802" t="s">
        <v>2020</v>
      </c>
      <c r="H802" t="s">
        <v>2024</v>
      </c>
      <c r="I802">
        <v>59</v>
      </c>
      <c r="J802" t="s">
        <v>2025</v>
      </c>
      <c r="K802" t="s">
        <v>2035</v>
      </c>
    </row>
    <row r="803" spans="1:11" x14ac:dyDescent="0.3">
      <c r="A803" s="6" t="s">
        <v>812</v>
      </c>
      <c r="B803" t="s">
        <v>1809</v>
      </c>
      <c r="C803" t="s">
        <v>2007</v>
      </c>
      <c r="D803">
        <v>17</v>
      </c>
      <c r="E803" t="s">
        <v>2011</v>
      </c>
      <c r="F803" t="s">
        <v>2014</v>
      </c>
      <c r="G803" t="s">
        <v>2022</v>
      </c>
      <c r="H803" t="s">
        <v>2023</v>
      </c>
      <c r="I803">
        <v>21</v>
      </c>
      <c r="J803" t="s">
        <v>2029</v>
      </c>
      <c r="K803" t="s">
        <v>2036</v>
      </c>
    </row>
    <row r="804" spans="1:11" x14ac:dyDescent="0.3">
      <c r="A804" s="6" t="s">
        <v>813</v>
      </c>
      <c r="B804" t="s">
        <v>1810</v>
      </c>
      <c r="C804" t="s">
        <v>2008</v>
      </c>
      <c r="D804">
        <v>15</v>
      </c>
      <c r="E804" t="s">
        <v>2012</v>
      </c>
      <c r="F804" t="s">
        <v>2015</v>
      </c>
      <c r="G804" t="s">
        <v>2019</v>
      </c>
      <c r="H804" t="s">
        <v>2023</v>
      </c>
      <c r="I804">
        <v>42</v>
      </c>
      <c r="J804" t="s">
        <v>2033</v>
      </c>
      <c r="K804" t="s">
        <v>2036</v>
      </c>
    </row>
    <row r="805" spans="1:11" x14ac:dyDescent="0.3">
      <c r="A805" s="6" t="s">
        <v>814</v>
      </c>
      <c r="B805" t="s">
        <v>1811</v>
      </c>
      <c r="C805" t="s">
        <v>2007</v>
      </c>
      <c r="D805">
        <v>17</v>
      </c>
      <c r="E805" t="s">
        <v>2011</v>
      </c>
      <c r="F805" t="s">
        <v>2016</v>
      </c>
      <c r="G805" t="s">
        <v>2019</v>
      </c>
      <c r="H805" t="s">
        <v>2024</v>
      </c>
      <c r="I805">
        <v>15</v>
      </c>
      <c r="J805" t="s">
        <v>2032</v>
      </c>
      <c r="K805" t="s">
        <v>2036</v>
      </c>
    </row>
    <row r="806" spans="1:11" x14ac:dyDescent="0.3">
      <c r="A806" s="6" t="s">
        <v>815</v>
      </c>
      <c r="B806" t="s">
        <v>1812</v>
      </c>
      <c r="C806" t="s">
        <v>2008</v>
      </c>
      <c r="D806">
        <v>15</v>
      </c>
      <c r="E806" t="s">
        <v>2009</v>
      </c>
      <c r="F806" t="s">
        <v>2016</v>
      </c>
      <c r="G806" t="s">
        <v>2019</v>
      </c>
      <c r="H806" t="s">
        <v>2023</v>
      </c>
      <c r="I806">
        <v>5</v>
      </c>
      <c r="J806" t="s">
        <v>2030</v>
      </c>
      <c r="K806" t="s">
        <v>2036</v>
      </c>
    </row>
    <row r="807" spans="1:11" x14ac:dyDescent="0.3">
      <c r="A807" s="6" t="s">
        <v>816</v>
      </c>
      <c r="B807" t="s">
        <v>1813</v>
      </c>
      <c r="C807" t="s">
        <v>2008</v>
      </c>
      <c r="D807">
        <v>15</v>
      </c>
      <c r="E807" t="s">
        <v>2013</v>
      </c>
      <c r="F807" t="s">
        <v>2015</v>
      </c>
      <c r="G807" t="s">
        <v>2020</v>
      </c>
      <c r="H807" t="s">
        <v>2023</v>
      </c>
      <c r="I807">
        <v>52</v>
      </c>
      <c r="J807" t="s">
        <v>2034</v>
      </c>
      <c r="K807" t="s">
        <v>2035</v>
      </c>
    </row>
    <row r="808" spans="1:11" x14ac:dyDescent="0.3">
      <c r="A808" s="6" t="s">
        <v>817</v>
      </c>
      <c r="B808" t="s">
        <v>1814</v>
      </c>
      <c r="C808" t="s">
        <v>2007</v>
      </c>
      <c r="D808">
        <v>17</v>
      </c>
      <c r="E808" t="s">
        <v>2013</v>
      </c>
      <c r="F808" t="s">
        <v>2015</v>
      </c>
      <c r="G808" t="s">
        <v>2021</v>
      </c>
      <c r="H808" t="s">
        <v>2024</v>
      </c>
      <c r="I808">
        <v>94</v>
      </c>
      <c r="J808" t="s">
        <v>2026</v>
      </c>
      <c r="K808" t="s">
        <v>2035</v>
      </c>
    </row>
    <row r="809" spans="1:11" x14ac:dyDescent="0.3">
      <c r="A809" s="6" t="s">
        <v>818</v>
      </c>
      <c r="B809" t="s">
        <v>1815</v>
      </c>
      <c r="C809" t="s">
        <v>2008</v>
      </c>
      <c r="D809">
        <v>18</v>
      </c>
      <c r="E809" t="s">
        <v>2013</v>
      </c>
      <c r="F809" t="s">
        <v>2015</v>
      </c>
      <c r="G809" t="s">
        <v>2022</v>
      </c>
      <c r="H809" t="s">
        <v>2024</v>
      </c>
      <c r="I809">
        <v>11</v>
      </c>
      <c r="J809" t="s">
        <v>2027</v>
      </c>
      <c r="K809" t="s">
        <v>2036</v>
      </c>
    </row>
    <row r="810" spans="1:11" x14ac:dyDescent="0.3">
      <c r="A810" s="6" t="s">
        <v>819</v>
      </c>
      <c r="B810" t="s">
        <v>1816</v>
      </c>
      <c r="C810" t="s">
        <v>2007</v>
      </c>
      <c r="D810">
        <v>18</v>
      </c>
      <c r="E810" t="s">
        <v>2011</v>
      </c>
      <c r="F810" t="s">
        <v>2015</v>
      </c>
      <c r="G810" t="s">
        <v>2022</v>
      </c>
      <c r="H810" t="s">
        <v>2024</v>
      </c>
      <c r="I810">
        <v>69</v>
      </c>
      <c r="J810" t="s">
        <v>2031</v>
      </c>
      <c r="K810" t="s">
        <v>2035</v>
      </c>
    </row>
    <row r="811" spans="1:11" x14ac:dyDescent="0.3">
      <c r="A811" s="6" t="s">
        <v>820</v>
      </c>
      <c r="B811" t="s">
        <v>1817</v>
      </c>
      <c r="C811" t="s">
        <v>2007</v>
      </c>
      <c r="D811">
        <v>18</v>
      </c>
      <c r="E811" t="s">
        <v>2011</v>
      </c>
      <c r="F811" t="s">
        <v>2014</v>
      </c>
      <c r="G811" t="s">
        <v>2022</v>
      </c>
      <c r="H811" t="s">
        <v>2023</v>
      </c>
      <c r="I811">
        <v>70</v>
      </c>
      <c r="J811" t="s">
        <v>2031</v>
      </c>
      <c r="K811" t="s">
        <v>2035</v>
      </c>
    </row>
    <row r="812" spans="1:11" x14ac:dyDescent="0.3">
      <c r="A812" s="6" t="s">
        <v>821</v>
      </c>
      <c r="B812" t="s">
        <v>1818</v>
      </c>
      <c r="C812" t="s">
        <v>2007</v>
      </c>
      <c r="D812">
        <v>14</v>
      </c>
      <c r="E812" t="s">
        <v>2009</v>
      </c>
      <c r="F812" t="s">
        <v>2015</v>
      </c>
      <c r="G812" t="s">
        <v>2019</v>
      </c>
      <c r="H812" t="s">
        <v>2024</v>
      </c>
      <c r="I812">
        <v>90</v>
      </c>
      <c r="J812" t="s">
        <v>2029</v>
      </c>
      <c r="K812" t="s">
        <v>2035</v>
      </c>
    </row>
    <row r="813" spans="1:11" x14ac:dyDescent="0.3">
      <c r="A813" s="6" t="s">
        <v>822</v>
      </c>
      <c r="B813" t="s">
        <v>1819</v>
      </c>
      <c r="C813" t="s">
        <v>2007</v>
      </c>
      <c r="D813">
        <v>17</v>
      </c>
      <c r="E813" t="s">
        <v>2012</v>
      </c>
      <c r="F813" t="s">
        <v>2015</v>
      </c>
      <c r="G813" t="s">
        <v>2021</v>
      </c>
      <c r="H813" t="s">
        <v>2024</v>
      </c>
      <c r="I813">
        <v>61</v>
      </c>
      <c r="J813" t="s">
        <v>2029</v>
      </c>
      <c r="K813" t="s">
        <v>2035</v>
      </c>
    </row>
    <row r="814" spans="1:11" x14ac:dyDescent="0.3">
      <c r="A814" s="6" t="s">
        <v>823</v>
      </c>
      <c r="B814" t="s">
        <v>1820</v>
      </c>
      <c r="C814" t="s">
        <v>2008</v>
      </c>
      <c r="D814">
        <v>16</v>
      </c>
      <c r="E814" t="s">
        <v>2011</v>
      </c>
      <c r="F814" t="s">
        <v>2015</v>
      </c>
      <c r="G814" t="s">
        <v>2020</v>
      </c>
      <c r="H814" t="s">
        <v>2024</v>
      </c>
      <c r="I814">
        <v>55</v>
      </c>
      <c r="J814" t="s">
        <v>2033</v>
      </c>
      <c r="K814" t="s">
        <v>2035</v>
      </c>
    </row>
    <row r="815" spans="1:11" x14ac:dyDescent="0.3">
      <c r="A815" s="6" t="s">
        <v>824</v>
      </c>
      <c r="B815" t="s">
        <v>1821</v>
      </c>
      <c r="C815" t="s">
        <v>2007</v>
      </c>
      <c r="D815">
        <v>17</v>
      </c>
      <c r="E815" t="s">
        <v>2011</v>
      </c>
      <c r="F815" t="s">
        <v>2017</v>
      </c>
      <c r="G815" t="s">
        <v>2020</v>
      </c>
      <c r="H815" t="s">
        <v>2023</v>
      </c>
      <c r="I815">
        <v>91</v>
      </c>
      <c r="J815" t="s">
        <v>2032</v>
      </c>
      <c r="K815" t="s">
        <v>2035</v>
      </c>
    </row>
    <row r="816" spans="1:11" x14ac:dyDescent="0.3">
      <c r="A816" s="6" t="s">
        <v>825</v>
      </c>
      <c r="B816" t="s">
        <v>1822</v>
      </c>
      <c r="C816" t="s">
        <v>2007</v>
      </c>
      <c r="D816">
        <v>18</v>
      </c>
      <c r="E816" t="s">
        <v>2011</v>
      </c>
      <c r="F816" t="s">
        <v>2016</v>
      </c>
      <c r="G816" t="s">
        <v>2021</v>
      </c>
      <c r="H816" t="s">
        <v>2024</v>
      </c>
      <c r="I816">
        <v>85</v>
      </c>
      <c r="J816" t="s">
        <v>2033</v>
      </c>
      <c r="K816" t="s">
        <v>2035</v>
      </c>
    </row>
    <row r="817" spans="1:11" x14ac:dyDescent="0.3">
      <c r="A817" s="6" t="s">
        <v>826</v>
      </c>
      <c r="B817" t="s">
        <v>1823</v>
      </c>
      <c r="C817" t="s">
        <v>2007</v>
      </c>
      <c r="D817">
        <v>15</v>
      </c>
      <c r="E817" t="s">
        <v>2012</v>
      </c>
      <c r="F817" t="s">
        <v>2014</v>
      </c>
      <c r="G817" t="s">
        <v>2020</v>
      </c>
      <c r="H817" t="s">
        <v>2024</v>
      </c>
      <c r="I817">
        <v>72</v>
      </c>
      <c r="J817" t="s">
        <v>2030</v>
      </c>
      <c r="K817" t="s">
        <v>2035</v>
      </c>
    </row>
    <row r="818" spans="1:11" x14ac:dyDescent="0.3">
      <c r="A818" s="6" t="s">
        <v>827</v>
      </c>
      <c r="B818" t="s">
        <v>1824</v>
      </c>
      <c r="C818" t="s">
        <v>2008</v>
      </c>
      <c r="D818">
        <v>16</v>
      </c>
      <c r="E818" t="s">
        <v>2013</v>
      </c>
      <c r="F818" t="s">
        <v>2016</v>
      </c>
      <c r="G818" t="s">
        <v>2022</v>
      </c>
      <c r="H818" t="s">
        <v>2024</v>
      </c>
      <c r="I818">
        <v>18</v>
      </c>
      <c r="J818" t="s">
        <v>2032</v>
      </c>
      <c r="K818" t="s">
        <v>2036</v>
      </c>
    </row>
    <row r="819" spans="1:11" x14ac:dyDescent="0.3">
      <c r="A819" s="6" t="s">
        <v>828</v>
      </c>
      <c r="B819" t="s">
        <v>1825</v>
      </c>
      <c r="C819" t="s">
        <v>2008</v>
      </c>
      <c r="D819">
        <v>18</v>
      </c>
      <c r="E819" t="s">
        <v>2012</v>
      </c>
      <c r="F819" t="s">
        <v>2014</v>
      </c>
      <c r="G819" t="s">
        <v>2018</v>
      </c>
      <c r="H819" t="s">
        <v>2024</v>
      </c>
      <c r="I819">
        <v>69</v>
      </c>
      <c r="J819" t="s">
        <v>2028</v>
      </c>
      <c r="K819" t="s">
        <v>2035</v>
      </c>
    </row>
    <row r="820" spans="1:11" x14ac:dyDescent="0.3">
      <c r="A820" s="6" t="s">
        <v>829</v>
      </c>
      <c r="B820" t="s">
        <v>1826</v>
      </c>
      <c r="C820" t="s">
        <v>2007</v>
      </c>
      <c r="D820">
        <v>18</v>
      </c>
      <c r="E820" t="s">
        <v>2013</v>
      </c>
      <c r="F820" t="s">
        <v>2015</v>
      </c>
      <c r="G820" t="s">
        <v>2018</v>
      </c>
      <c r="H820" t="s">
        <v>2023</v>
      </c>
      <c r="I820">
        <v>53</v>
      </c>
      <c r="J820" t="s">
        <v>2025</v>
      </c>
      <c r="K820" t="s">
        <v>2035</v>
      </c>
    </row>
    <row r="821" spans="1:11" x14ac:dyDescent="0.3">
      <c r="A821" s="6" t="s">
        <v>830</v>
      </c>
      <c r="B821" t="s">
        <v>1827</v>
      </c>
      <c r="C821" t="s">
        <v>2007</v>
      </c>
      <c r="D821">
        <v>15</v>
      </c>
      <c r="E821" t="s">
        <v>2011</v>
      </c>
      <c r="F821" t="s">
        <v>2016</v>
      </c>
      <c r="G821" t="s">
        <v>2020</v>
      </c>
      <c r="H821" t="s">
        <v>2023</v>
      </c>
      <c r="I821">
        <v>92</v>
      </c>
      <c r="J821" t="s">
        <v>2032</v>
      </c>
      <c r="K821" t="s">
        <v>2035</v>
      </c>
    </row>
    <row r="822" spans="1:11" x14ac:dyDescent="0.3">
      <c r="A822" s="6" t="s">
        <v>831</v>
      </c>
      <c r="B822" t="s">
        <v>1828</v>
      </c>
      <c r="C822" t="s">
        <v>2007</v>
      </c>
      <c r="D822">
        <v>17</v>
      </c>
      <c r="E822" t="s">
        <v>2010</v>
      </c>
      <c r="F822" t="s">
        <v>2015</v>
      </c>
      <c r="G822" t="s">
        <v>2021</v>
      </c>
      <c r="H822" t="s">
        <v>2024</v>
      </c>
      <c r="I822">
        <v>33</v>
      </c>
      <c r="J822" t="s">
        <v>2032</v>
      </c>
      <c r="K822" t="s">
        <v>2036</v>
      </c>
    </row>
    <row r="823" spans="1:11" x14ac:dyDescent="0.3">
      <c r="A823" s="6" t="s">
        <v>832</v>
      </c>
      <c r="B823" t="s">
        <v>1829</v>
      </c>
      <c r="C823" t="s">
        <v>2007</v>
      </c>
      <c r="D823">
        <v>15</v>
      </c>
      <c r="E823" t="s">
        <v>2009</v>
      </c>
      <c r="F823" t="s">
        <v>2014</v>
      </c>
      <c r="G823" t="s">
        <v>2020</v>
      </c>
      <c r="H823" t="s">
        <v>2024</v>
      </c>
      <c r="I823">
        <v>93</v>
      </c>
      <c r="J823" t="s">
        <v>2034</v>
      </c>
      <c r="K823" t="s">
        <v>2035</v>
      </c>
    </row>
    <row r="824" spans="1:11" x14ac:dyDescent="0.3">
      <c r="A824" s="6" t="s">
        <v>833</v>
      </c>
      <c r="B824" t="s">
        <v>1830</v>
      </c>
      <c r="C824" t="s">
        <v>2007</v>
      </c>
      <c r="D824">
        <v>18</v>
      </c>
      <c r="E824" t="s">
        <v>2013</v>
      </c>
      <c r="F824" t="s">
        <v>2015</v>
      </c>
      <c r="G824" t="s">
        <v>2019</v>
      </c>
      <c r="H824" t="s">
        <v>2024</v>
      </c>
      <c r="I824">
        <v>2</v>
      </c>
      <c r="J824" t="s">
        <v>2025</v>
      </c>
      <c r="K824" t="s">
        <v>2036</v>
      </c>
    </row>
    <row r="825" spans="1:11" x14ac:dyDescent="0.3">
      <c r="A825" s="6" t="s">
        <v>834</v>
      </c>
      <c r="B825" t="s">
        <v>1831</v>
      </c>
      <c r="C825" t="s">
        <v>2007</v>
      </c>
      <c r="D825">
        <v>14</v>
      </c>
      <c r="E825" t="s">
        <v>2013</v>
      </c>
      <c r="F825" t="s">
        <v>2017</v>
      </c>
      <c r="G825" t="s">
        <v>2019</v>
      </c>
      <c r="H825" t="s">
        <v>2024</v>
      </c>
      <c r="I825">
        <v>99</v>
      </c>
      <c r="J825" t="s">
        <v>2033</v>
      </c>
      <c r="K825" t="s">
        <v>2035</v>
      </c>
    </row>
    <row r="826" spans="1:11" x14ac:dyDescent="0.3">
      <c r="A826" s="6" t="s">
        <v>835</v>
      </c>
      <c r="B826" t="s">
        <v>1832</v>
      </c>
      <c r="C826" t="s">
        <v>2008</v>
      </c>
      <c r="D826">
        <v>15</v>
      </c>
      <c r="E826" t="s">
        <v>2013</v>
      </c>
      <c r="F826" t="s">
        <v>2017</v>
      </c>
      <c r="G826" t="s">
        <v>2021</v>
      </c>
      <c r="H826" t="s">
        <v>2024</v>
      </c>
      <c r="I826">
        <v>70</v>
      </c>
      <c r="J826" t="s">
        <v>2032</v>
      </c>
      <c r="K826" t="s">
        <v>2035</v>
      </c>
    </row>
    <row r="827" spans="1:11" x14ac:dyDescent="0.3">
      <c r="A827" s="6" t="s">
        <v>836</v>
      </c>
      <c r="B827" t="s">
        <v>1833</v>
      </c>
      <c r="C827" t="s">
        <v>2007</v>
      </c>
      <c r="D827">
        <v>15</v>
      </c>
      <c r="E827" t="s">
        <v>2012</v>
      </c>
      <c r="F827" t="s">
        <v>2015</v>
      </c>
      <c r="G827" t="s">
        <v>2020</v>
      </c>
      <c r="H827" t="s">
        <v>2024</v>
      </c>
      <c r="I827">
        <v>48</v>
      </c>
      <c r="J827" t="s">
        <v>2026</v>
      </c>
      <c r="K827" t="s">
        <v>2036</v>
      </c>
    </row>
    <row r="828" spans="1:11" x14ac:dyDescent="0.3">
      <c r="A828" s="6" t="s">
        <v>837</v>
      </c>
      <c r="B828" t="s">
        <v>1834</v>
      </c>
      <c r="C828" t="s">
        <v>2007</v>
      </c>
      <c r="D828">
        <v>18</v>
      </c>
      <c r="E828" t="s">
        <v>2012</v>
      </c>
      <c r="F828" t="s">
        <v>2014</v>
      </c>
      <c r="G828" t="s">
        <v>2019</v>
      </c>
      <c r="H828" t="s">
        <v>2024</v>
      </c>
      <c r="I828">
        <v>66</v>
      </c>
      <c r="J828" t="s">
        <v>2027</v>
      </c>
      <c r="K828" t="s">
        <v>2035</v>
      </c>
    </row>
    <row r="829" spans="1:11" x14ac:dyDescent="0.3">
      <c r="A829" s="6" t="s">
        <v>838</v>
      </c>
      <c r="B829" t="s">
        <v>1835</v>
      </c>
      <c r="C829" t="s">
        <v>2008</v>
      </c>
      <c r="D829">
        <v>17</v>
      </c>
      <c r="E829" t="s">
        <v>2012</v>
      </c>
      <c r="F829" t="s">
        <v>2016</v>
      </c>
      <c r="G829" t="s">
        <v>2019</v>
      </c>
      <c r="H829" t="s">
        <v>2023</v>
      </c>
      <c r="I829">
        <v>61</v>
      </c>
      <c r="J829" t="s">
        <v>2030</v>
      </c>
      <c r="K829" t="s">
        <v>2035</v>
      </c>
    </row>
    <row r="830" spans="1:11" x14ac:dyDescent="0.3">
      <c r="A830" s="6" t="s">
        <v>839</v>
      </c>
      <c r="B830" t="s">
        <v>1836</v>
      </c>
      <c r="C830" t="s">
        <v>2007</v>
      </c>
      <c r="D830">
        <v>14</v>
      </c>
      <c r="E830" t="s">
        <v>2012</v>
      </c>
      <c r="F830" t="s">
        <v>2016</v>
      </c>
      <c r="G830" t="s">
        <v>2021</v>
      </c>
      <c r="H830" t="s">
        <v>2024</v>
      </c>
      <c r="I830">
        <v>64</v>
      </c>
      <c r="J830" t="s">
        <v>2028</v>
      </c>
      <c r="K830" t="s">
        <v>2035</v>
      </c>
    </row>
    <row r="831" spans="1:11" x14ac:dyDescent="0.3">
      <c r="A831" s="6" t="s">
        <v>840</v>
      </c>
      <c r="B831" t="s">
        <v>1837</v>
      </c>
      <c r="C831" t="s">
        <v>2008</v>
      </c>
      <c r="D831">
        <v>14</v>
      </c>
      <c r="E831" t="s">
        <v>2010</v>
      </c>
      <c r="F831" t="s">
        <v>2017</v>
      </c>
      <c r="G831" t="s">
        <v>2019</v>
      </c>
      <c r="H831" t="s">
        <v>2024</v>
      </c>
      <c r="I831">
        <v>4</v>
      </c>
      <c r="J831" t="s">
        <v>2029</v>
      </c>
      <c r="K831" t="s">
        <v>2036</v>
      </c>
    </row>
    <row r="832" spans="1:11" x14ac:dyDescent="0.3">
      <c r="A832" s="6" t="s">
        <v>841</v>
      </c>
      <c r="B832" t="s">
        <v>1838</v>
      </c>
      <c r="C832" t="s">
        <v>2008</v>
      </c>
      <c r="D832">
        <v>15</v>
      </c>
      <c r="E832" t="s">
        <v>2011</v>
      </c>
      <c r="F832" t="s">
        <v>2015</v>
      </c>
      <c r="G832" t="s">
        <v>2018</v>
      </c>
      <c r="H832" t="s">
        <v>2024</v>
      </c>
      <c r="I832">
        <v>50</v>
      </c>
      <c r="J832" t="s">
        <v>2034</v>
      </c>
      <c r="K832" t="s">
        <v>2035</v>
      </c>
    </row>
    <row r="833" spans="1:11" x14ac:dyDescent="0.3">
      <c r="A833" s="6" t="s">
        <v>842</v>
      </c>
      <c r="B833" t="s">
        <v>1839</v>
      </c>
      <c r="C833" t="s">
        <v>2007</v>
      </c>
      <c r="D833">
        <v>18</v>
      </c>
      <c r="E833" t="s">
        <v>2009</v>
      </c>
      <c r="F833" t="s">
        <v>2014</v>
      </c>
      <c r="G833" t="s">
        <v>2018</v>
      </c>
      <c r="H833" t="s">
        <v>2024</v>
      </c>
      <c r="I833">
        <v>43</v>
      </c>
      <c r="J833" t="s">
        <v>2030</v>
      </c>
      <c r="K833" t="s">
        <v>2036</v>
      </c>
    </row>
    <row r="834" spans="1:11" x14ac:dyDescent="0.3">
      <c r="A834" s="6" t="s">
        <v>843</v>
      </c>
      <c r="B834" t="s">
        <v>1840</v>
      </c>
      <c r="C834" t="s">
        <v>2008</v>
      </c>
      <c r="D834">
        <v>18</v>
      </c>
      <c r="E834" t="s">
        <v>2010</v>
      </c>
      <c r="F834" t="s">
        <v>2015</v>
      </c>
      <c r="G834" t="s">
        <v>2018</v>
      </c>
      <c r="H834" t="s">
        <v>2023</v>
      </c>
      <c r="I834">
        <v>5</v>
      </c>
      <c r="J834" t="s">
        <v>2025</v>
      </c>
      <c r="K834" t="s">
        <v>2036</v>
      </c>
    </row>
    <row r="835" spans="1:11" x14ac:dyDescent="0.3">
      <c r="A835" s="6" t="s">
        <v>844</v>
      </c>
      <c r="B835" t="s">
        <v>1841</v>
      </c>
      <c r="C835" t="s">
        <v>2007</v>
      </c>
      <c r="D835">
        <v>16</v>
      </c>
      <c r="E835" t="s">
        <v>2012</v>
      </c>
      <c r="F835" t="s">
        <v>2016</v>
      </c>
      <c r="G835" t="s">
        <v>2019</v>
      </c>
      <c r="H835" t="s">
        <v>2024</v>
      </c>
      <c r="I835">
        <v>66</v>
      </c>
      <c r="J835" t="s">
        <v>2029</v>
      </c>
      <c r="K835" t="s">
        <v>2035</v>
      </c>
    </row>
    <row r="836" spans="1:11" x14ac:dyDescent="0.3">
      <c r="A836" s="6" t="s">
        <v>845</v>
      </c>
      <c r="B836" t="s">
        <v>1842</v>
      </c>
      <c r="C836" t="s">
        <v>2007</v>
      </c>
      <c r="D836">
        <v>18</v>
      </c>
      <c r="E836" t="s">
        <v>2010</v>
      </c>
      <c r="F836" t="s">
        <v>2016</v>
      </c>
      <c r="G836" t="s">
        <v>2020</v>
      </c>
      <c r="H836" t="s">
        <v>2024</v>
      </c>
      <c r="I836">
        <v>99</v>
      </c>
      <c r="J836" t="s">
        <v>2029</v>
      </c>
      <c r="K836" t="s">
        <v>2035</v>
      </c>
    </row>
    <row r="837" spans="1:11" x14ac:dyDescent="0.3">
      <c r="A837" s="6" t="s">
        <v>846</v>
      </c>
      <c r="B837" t="s">
        <v>1843</v>
      </c>
      <c r="C837" t="s">
        <v>2008</v>
      </c>
      <c r="D837">
        <v>16</v>
      </c>
      <c r="E837" t="s">
        <v>2012</v>
      </c>
      <c r="F837" t="s">
        <v>2015</v>
      </c>
      <c r="G837" t="s">
        <v>2022</v>
      </c>
      <c r="H837" t="s">
        <v>2024</v>
      </c>
      <c r="I837">
        <v>58</v>
      </c>
      <c r="J837" t="s">
        <v>2028</v>
      </c>
      <c r="K837" t="s">
        <v>2035</v>
      </c>
    </row>
    <row r="838" spans="1:11" x14ac:dyDescent="0.3">
      <c r="A838" s="6" t="s">
        <v>847</v>
      </c>
      <c r="B838" t="s">
        <v>1844</v>
      </c>
      <c r="C838" t="s">
        <v>2008</v>
      </c>
      <c r="D838">
        <v>14</v>
      </c>
      <c r="E838" t="s">
        <v>2011</v>
      </c>
      <c r="F838" t="s">
        <v>2016</v>
      </c>
      <c r="G838" t="s">
        <v>2018</v>
      </c>
      <c r="H838" t="s">
        <v>2024</v>
      </c>
      <c r="I838">
        <v>100</v>
      </c>
      <c r="J838" t="s">
        <v>2025</v>
      </c>
      <c r="K838" t="s">
        <v>2035</v>
      </c>
    </row>
    <row r="839" spans="1:11" x14ac:dyDescent="0.3">
      <c r="A839" s="6" t="s">
        <v>848</v>
      </c>
      <c r="B839" t="s">
        <v>1845</v>
      </c>
      <c r="C839" t="s">
        <v>2008</v>
      </c>
      <c r="D839">
        <v>15</v>
      </c>
      <c r="E839" t="s">
        <v>2009</v>
      </c>
      <c r="F839" t="s">
        <v>2015</v>
      </c>
      <c r="G839" t="s">
        <v>2020</v>
      </c>
      <c r="H839" t="s">
        <v>2024</v>
      </c>
      <c r="I839">
        <v>12</v>
      </c>
      <c r="J839" t="s">
        <v>2029</v>
      </c>
      <c r="K839" t="s">
        <v>2036</v>
      </c>
    </row>
    <row r="840" spans="1:11" x14ac:dyDescent="0.3">
      <c r="A840" s="6" t="s">
        <v>849</v>
      </c>
      <c r="B840" t="s">
        <v>1846</v>
      </c>
      <c r="C840" t="s">
        <v>2007</v>
      </c>
      <c r="D840">
        <v>18</v>
      </c>
      <c r="E840" t="s">
        <v>2009</v>
      </c>
      <c r="F840" t="s">
        <v>2017</v>
      </c>
      <c r="G840" t="s">
        <v>2019</v>
      </c>
      <c r="H840" t="s">
        <v>2024</v>
      </c>
      <c r="I840">
        <v>48</v>
      </c>
      <c r="J840" t="s">
        <v>2034</v>
      </c>
      <c r="K840" t="s">
        <v>2036</v>
      </c>
    </row>
    <row r="841" spans="1:11" x14ac:dyDescent="0.3">
      <c r="A841" s="6" t="s">
        <v>850</v>
      </c>
      <c r="B841" t="s">
        <v>1847</v>
      </c>
      <c r="C841" t="s">
        <v>2008</v>
      </c>
      <c r="D841">
        <v>14</v>
      </c>
      <c r="E841" t="s">
        <v>2009</v>
      </c>
      <c r="F841" t="s">
        <v>2015</v>
      </c>
      <c r="G841" t="s">
        <v>2020</v>
      </c>
      <c r="H841" t="s">
        <v>2024</v>
      </c>
      <c r="I841">
        <v>12</v>
      </c>
      <c r="J841" t="s">
        <v>2033</v>
      </c>
      <c r="K841" t="s">
        <v>2036</v>
      </c>
    </row>
    <row r="842" spans="1:11" x14ac:dyDescent="0.3">
      <c r="A842" s="6" t="s">
        <v>851</v>
      </c>
      <c r="B842" t="s">
        <v>1848</v>
      </c>
      <c r="C842" t="s">
        <v>2007</v>
      </c>
      <c r="D842">
        <v>14</v>
      </c>
      <c r="E842" t="s">
        <v>2012</v>
      </c>
      <c r="F842" t="s">
        <v>2015</v>
      </c>
      <c r="G842" t="s">
        <v>2018</v>
      </c>
      <c r="H842" t="s">
        <v>2024</v>
      </c>
      <c r="I842">
        <v>7</v>
      </c>
      <c r="J842" t="s">
        <v>2031</v>
      </c>
      <c r="K842" t="s">
        <v>2036</v>
      </c>
    </row>
    <row r="843" spans="1:11" x14ac:dyDescent="0.3">
      <c r="A843" s="6" t="s">
        <v>852</v>
      </c>
      <c r="B843" t="s">
        <v>1849</v>
      </c>
      <c r="C843" t="s">
        <v>2008</v>
      </c>
      <c r="D843">
        <v>18</v>
      </c>
      <c r="E843" t="s">
        <v>2012</v>
      </c>
      <c r="F843" t="s">
        <v>2015</v>
      </c>
      <c r="G843" t="s">
        <v>2019</v>
      </c>
      <c r="H843" t="s">
        <v>2024</v>
      </c>
      <c r="I843">
        <v>34</v>
      </c>
      <c r="J843" t="s">
        <v>2032</v>
      </c>
      <c r="K843" t="s">
        <v>2036</v>
      </c>
    </row>
    <row r="844" spans="1:11" x14ac:dyDescent="0.3">
      <c r="A844" s="6" t="s">
        <v>853</v>
      </c>
      <c r="B844" t="s">
        <v>1850</v>
      </c>
      <c r="C844" t="s">
        <v>2008</v>
      </c>
      <c r="D844">
        <v>14</v>
      </c>
      <c r="E844" t="s">
        <v>2010</v>
      </c>
      <c r="F844" t="s">
        <v>2015</v>
      </c>
      <c r="G844" t="s">
        <v>2021</v>
      </c>
      <c r="H844" t="s">
        <v>2024</v>
      </c>
      <c r="I844">
        <v>35</v>
      </c>
      <c r="J844" t="s">
        <v>2032</v>
      </c>
      <c r="K844" t="s">
        <v>2036</v>
      </c>
    </row>
    <row r="845" spans="1:11" x14ac:dyDescent="0.3">
      <c r="A845" s="6" t="s">
        <v>854</v>
      </c>
      <c r="B845" t="s">
        <v>1851</v>
      </c>
      <c r="C845" t="s">
        <v>2007</v>
      </c>
      <c r="D845">
        <v>15</v>
      </c>
      <c r="E845" t="s">
        <v>2010</v>
      </c>
      <c r="F845" t="s">
        <v>2017</v>
      </c>
      <c r="G845" t="s">
        <v>2020</v>
      </c>
      <c r="H845" t="s">
        <v>2023</v>
      </c>
      <c r="I845">
        <v>95</v>
      </c>
      <c r="J845" t="s">
        <v>2025</v>
      </c>
      <c r="K845" t="s">
        <v>2035</v>
      </c>
    </row>
    <row r="846" spans="1:11" x14ac:dyDescent="0.3">
      <c r="A846" s="6" t="s">
        <v>855</v>
      </c>
      <c r="B846" t="s">
        <v>1852</v>
      </c>
      <c r="C846" t="s">
        <v>2007</v>
      </c>
      <c r="D846">
        <v>15</v>
      </c>
      <c r="E846" t="s">
        <v>2010</v>
      </c>
      <c r="F846" t="s">
        <v>2015</v>
      </c>
      <c r="G846" t="s">
        <v>2022</v>
      </c>
      <c r="H846" t="s">
        <v>2023</v>
      </c>
      <c r="I846">
        <v>95</v>
      </c>
      <c r="J846" t="s">
        <v>2034</v>
      </c>
      <c r="K846" t="s">
        <v>2035</v>
      </c>
    </row>
    <row r="847" spans="1:11" x14ac:dyDescent="0.3">
      <c r="A847" s="6" t="s">
        <v>856</v>
      </c>
      <c r="B847" t="s">
        <v>1853</v>
      </c>
      <c r="C847" t="s">
        <v>2008</v>
      </c>
      <c r="D847">
        <v>16</v>
      </c>
      <c r="E847" t="s">
        <v>2013</v>
      </c>
      <c r="F847" t="s">
        <v>2015</v>
      </c>
      <c r="G847" t="s">
        <v>2022</v>
      </c>
      <c r="H847" t="s">
        <v>2024</v>
      </c>
      <c r="I847">
        <v>36</v>
      </c>
      <c r="J847" t="s">
        <v>2028</v>
      </c>
      <c r="K847" t="s">
        <v>2036</v>
      </c>
    </row>
    <row r="848" spans="1:11" x14ac:dyDescent="0.3">
      <c r="A848" s="6" t="s">
        <v>857</v>
      </c>
      <c r="B848" t="s">
        <v>1854</v>
      </c>
      <c r="C848" t="s">
        <v>2008</v>
      </c>
      <c r="D848">
        <v>18</v>
      </c>
      <c r="E848" t="s">
        <v>2009</v>
      </c>
      <c r="F848" t="s">
        <v>2016</v>
      </c>
      <c r="G848" t="s">
        <v>2019</v>
      </c>
      <c r="H848" t="s">
        <v>2024</v>
      </c>
      <c r="I848">
        <v>91</v>
      </c>
      <c r="J848" t="s">
        <v>2028</v>
      </c>
      <c r="K848" t="s">
        <v>2035</v>
      </c>
    </row>
    <row r="849" spans="1:11" x14ac:dyDescent="0.3">
      <c r="A849" s="6" t="s">
        <v>858</v>
      </c>
      <c r="B849" t="s">
        <v>1855</v>
      </c>
      <c r="C849" t="s">
        <v>2008</v>
      </c>
      <c r="D849">
        <v>18</v>
      </c>
      <c r="E849" t="s">
        <v>2012</v>
      </c>
      <c r="F849" t="s">
        <v>2015</v>
      </c>
      <c r="G849" t="s">
        <v>2018</v>
      </c>
      <c r="H849" t="s">
        <v>2024</v>
      </c>
      <c r="I849">
        <v>81</v>
      </c>
      <c r="J849" t="s">
        <v>2027</v>
      </c>
      <c r="K849" t="s">
        <v>2035</v>
      </c>
    </row>
    <row r="850" spans="1:11" x14ac:dyDescent="0.3">
      <c r="A850" s="6" t="s">
        <v>859</v>
      </c>
      <c r="B850" t="s">
        <v>1856</v>
      </c>
      <c r="C850" t="s">
        <v>2008</v>
      </c>
      <c r="D850">
        <v>18</v>
      </c>
      <c r="E850" t="s">
        <v>2013</v>
      </c>
      <c r="F850" t="s">
        <v>2017</v>
      </c>
      <c r="G850" t="s">
        <v>2019</v>
      </c>
      <c r="H850" t="s">
        <v>2024</v>
      </c>
      <c r="I850">
        <v>75</v>
      </c>
      <c r="J850" t="s">
        <v>2034</v>
      </c>
      <c r="K850" t="s">
        <v>2035</v>
      </c>
    </row>
    <row r="851" spans="1:11" x14ac:dyDescent="0.3">
      <c r="A851" s="6" t="s">
        <v>860</v>
      </c>
      <c r="B851" t="s">
        <v>1857</v>
      </c>
      <c r="C851" t="s">
        <v>2007</v>
      </c>
      <c r="D851">
        <v>17</v>
      </c>
      <c r="E851" t="s">
        <v>2009</v>
      </c>
      <c r="F851" t="s">
        <v>2015</v>
      </c>
      <c r="G851" t="s">
        <v>2021</v>
      </c>
      <c r="H851" t="s">
        <v>2023</v>
      </c>
      <c r="I851">
        <v>39</v>
      </c>
      <c r="J851" t="s">
        <v>2025</v>
      </c>
      <c r="K851" t="s">
        <v>2036</v>
      </c>
    </row>
    <row r="852" spans="1:11" x14ac:dyDescent="0.3">
      <c r="A852" s="6" t="s">
        <v>861</v>
      </c>
      <c r="B852" t="s">
        <v>1858</v>
      </c>
      <c r="C852" t="s">
        <v>2007</v>
      </c>
      <c r="D852">
        <v>16</v>
      </c>
      <c r="E852" t="s">
        <v>2013</v>
      </c>
      <c r="F852" t="s">
        <v>2017</v>
      </c>
      <c r="G852" t="s">
        <v>2020</v>
      </c>
      <c r="H852" t="s">
        <v>2023</v>
      </c>
      <c r="I852">
        <v>50</v>
      </c>
      <c r="J852" t="s">
        <v>2028</v>
      </c>
      <c r="K852" t="s">
        <v>2035</v>
      </c>
    </row>
    <row r="853" spans="1:11" x14ac:dyDescent="0.3">
      <c r="A853" s="6" t="s">
        <v>862</v>
      </c>
      <c r="B853" t="s">
        <v>1859</v>
      </c>
      <c r="C853" t="s">
        <v>2007</v>
      </c>
      <c r="D853">
        <v>18</v>
      </c>
      <c r="E853" t="s">
        <v>2009</v>
      </c>
      <c r="F853" t="s">
        <v>2014</v>
      </c>
      <c r="G853" t="s">
        <v>2020</v>
      </c>
      <c r="H853" t="s">
        <v>2023</v>
      </c>
      <c r="I853">
        <v>51</v>
      </c>
      <c r="J853" t="s">
        <v>2029</v>
      </c>
      <c r="K853" t="s">
        <v>2035</v>
      </c>
    </row>
    <row r="854" spans="1:11" x14ac:dyDescent="0.3">
      <c r="A854" s="6" t="s">
        <v>863</v>
      </c>
      <c r="B854" t="s">
        <v>1860</v>
      </c>
      <c r="C854" t="s">
        <v>2008</v>
      </c>
      <c r="D854">
        <v>15</v>
      </c>
      <c r="E854" t="s">
        <v>2012</v>
      </c>
      <c r="F854" t="s">
        <v>2014</v>
      </c>
      <c r="G854" t="s">
        <v>2018</v>
      </c>
      <c r="H854" t="s">
        <v>2023</v>
      </c>
      <c r="I854">
        <v>66</v>
      </c>
      <c r="J854" t="s">
        <v>2025</v>
      </c>
      <c r="K854" t="s">
        <v>2035</v>
      </c>
    </row>
    <row r="855" spans="1:11" x14ac:dyDescent="0.3">
      <c r="A855" s="6" t="s">
        <v>864</v>
      </c>
      <c r="B855" t="s">
        <v>1861</v>
      </c>
      <c r="C855" t="s">
        <v>2008</v>
      </c>
      <c r="D855">
        <v>18</v>
      </c>
      <c r="E855" t="s">
        <v>2010</v>
      </c>
      <c r="F855" t="s">
        <v>2015</v>
      </c>
      <c r="G855" t="s">
        <v>2020</v>
      </c>
      <c r="H855" t="s">
        <v>2024</v>
      </c>
      <c r="I855">
        <v>84</v>
      </c>
      <c r="J855" t="s">
        <v>2030</v>
      </c>
      <c r="K855" t="s">
        <v>2035</v>
      </c>
    </row>
    <row r="856" spans="1:11" x14ac:dyDescent="0.3">
      <c r="A856" s="6" t="s">
        <v>865</v>
      </c>
      <c r="B856" t="s">
        <v>1862</v>
      </c>
      <c r="C856" t="s">
        <v>2007</v>
      </c>
      <c r="D856">
        <v>18</v>
      </c>
      <c r="E856" t="s">
        <v>2012</v>
      </c>
      <c r="F856" t="s">
        <v>2016</v>
      </c>
      <c r="G856" t="s">
        <v>2021</v>
      </c>
      <c r="H856" t="s">
        <v>2024</v>
      </c>
      <c r="I856">
        <v>12</v>
      </c>
      <c r="J856" t="s">
        <v>2034</v>
      </c>
      <c r="K856" t="s">
        <v>2036</v>
      </c>
    </row>
    <row r="857" spans="1:11" x14ac:dyDescent="0.3">
      <c r="A857" s="6" t="s">
        <v>866</v>
      </c>
      <c r="B857" t="s">
        <v>1863</v>
      </c>
      <c r="C857" t="s">
        <v>2008</v>
      </c>
      <c r="D857">
        <v>18</v>
      </c>
      <c r="E857" t="s">
        <v>2012</v>
      </c>
      <c r="F857" t="s">
        <v>2016</v>
      </c>
      <c r="G857" t="s">
        <v>2019</v>
      </c>
      <c r="H857" t="s">
        <v>2023</v>
      </c>
      <c r="I857">
        <v>89</v>
      </c>
      <c r="J857" t="s">
        <v>2025</v>
      </c>
      <c r="K857" t="s">
        <v>2035</v>
      </c>
    </row>
    <row r="858" spans="1:11" x14ac:dyDescent="0.3">
      <c r="A858" s="6" t="s">
        <v>867</v>
      </c>
      <c r="B858" t="s">
        <v>1864</v>
      </c>
      <c r="C858" t="s">
        <v>2007</v>
      </c>
      <c r="D858">
        <v>15</v>
      </c>
      <c r="E858" t="s">
        <v>2011</v>
      </c>
      <c r="F858" t="s">
        <v>2015</v>
      </c>
      <c r="G858" t="s">
        <v>2019</v>
      </c>
      <c r="H858" t="s">
        <v>2023</v>
      </c>
      <c r="I858">
        <v>68</v>
      </c>
      <c r="J858" t="s">
        <v>2026</v>
      </c>
      <c r="K858" t="s">
        <v>2035</v>
      </c>
    </row>
    <row r="859" spans="1:11" x14ac:dyDescent="0.3">
      <c r="A859" s="6" t="s">
        <v>868</v>
      </c>
      <c r="B859" t="s">
        <v>1865</v>
      </c>
      <c r="C859" t="s">
        <v>2008</v>
      </c>
      <c r="D859">
        <v>14</v>
      </c>
      <c r="E859" t="s">
        <v>2012</v>
      </c>
      <c r="F859" t="s">
        <v>2017</v>
      </c>
      <c r="G859" t="s">
        <v>2022</v>
      </c>
      <c r="H859" t="s">
        <v>2024</v>
      </c>
      <c r="I859">
        <v>97</v>
      </c>
      <c r="J859" t="s">
        <v>2032</v>
      </c>
      <c r="K859" t="s">
        <v>2035</v>
      </c>
    </row>
    <row r="860" spans="1:11" x14ac:dyDescent="0.3">
      <c r="A860" s="6" t="s">
        <v>869</v>
      </c>
      <c r="B860" t="s">
        <v>1866</v>
      </c>
      <c r="C860" t="s">
        <v>2007</v>
      </c>
      <c r="D860">
        <v>16</v>
      </c>
      <c r="E860" t="s">
        <v>2013</v>
      </c>
      <c r="F860" t="s">
        <v>2017</v>
      </c>
      <c r="G860" t="s">
        <v>2022</v>
      </c>
      <c r="H860" t="s">
        <v>2023</v>
      </c>
      <c r="I860">
        <v>72</v>
      </c>
      <c r="J860" t="s">
        <v>2028</v>
      </c>
      <c r="K860" t="s">
        <v>2035</v>
      </c>
    </row>
    <row r="861" spans="1:11" x14ac:dyDescent="0.3">
      <c r="A861" s="6" t="s">
        <v>870</v>
      </c>
      <c r="B861" t="s">
        <v>1867</v>
      </c>
      <c r="C861" t="s">
        <v>2007</v>
      </c>
      <c r="D861">
        <v>15</v>
      </c>
      <c r="E861" t="s">
        <v>2011</v>
      </c>
      <c r="F861" t="s">
        <v>2017</v>
      </c>
      <c r="G861" t="s">
        <v>2019</v>
      </c>
      <c r="H861" t="s">
        <v>2024</v>
      </c>
      <c r="I861">
        <v>76</v>
      </c>
      <c r="J861" t="s">
        <v>2034</v>
      </c>
      <c r="K861" t="s">
        <v>2035</v>
      </c>
    </row>
    <row r="862" spans="1:11" x14ac:dyDescent="0.3">
      <c r="A862" s="6" t="s">
        <v>871</v>
      </c>
      <c r="B862" t="s">
        <v>1868</v>
      </c>
      <c r="C862" t="s">
        <v>2008</v>
      </c>
      <c r="D862">
        <v>14</v>
      </c>
      <c r="E862" t="s">
        <v>2011</v>
      </c>
      <c r="F862" t="s">
        <v>2015</v>
      </c>
      <c r="G862" t="s">
        <v>2018</v>
      </c>
      <c r="H862" t="s">
        <v>2023</v>
      </c>
      <c r="I862">
        <v>24</v>
      </c>
      <c r="J862" t="s">
        <v>2027</v>
      </c>
      <c r="K862" t="s">
        <v>2036</v>
      </c>
    </row>
    <row r="863" spans="1:11" x14ac:dyDescent="0.3">
      <c r="A863" s="6" t="s">
        <v>872</v>
      </c>
      <c r="B863" t="s">
        <v>1869</v>
      </c>
      <c r="C863" t="s">
        <v>2007</v>
      </c>
      <c r="D863">
        <v>14</v>
      </c>
      <c r="E863" t="s">
        <v>2010</v>
      </c>
      <c r="F863" t="s">
        <v>2017</v>
      </c>
      <c r="G863" t="s">
        <v>2020</v>
      </c>
      <c r="H863" t="s">
        <v>2023</v>
      </c>
      <c r="I863">
        <v>14</v>
      </c>
      <c r="J863" t="s">
        <v>2029</v>
      </c>
      <c r="K863" t="s">
        <v>2036</v>
      </c>
    </row>
    <row r="864" spans="1:11" x14ac:dyDescent="0.3">
      <c r="A864" s="6" t="s">
        <v>873</v>
      </c>
      <c r="B864" t="s">
        <v>1870</v>
      </c>
      <c r="C864" t="s">
        <v>2008</v>
      </c>
      <c r="D864">
        <v>17</v>
      </c>
      <c r="E864" t="s">
        <v>2009</v>
      </c>
      <c r="F864" t="s">
        <v>2014</v>
      </c>
      <c r="G864" t="s">
        <v>2022</v>
      </c>
      <c r="H864" t="s">
        <v>2023</v>
      </c>
      <c r="I864">
        <v>35</v>
      </c>
      <c r="J864" t="s">
        <v>2028</v>
      </c>
      <c r="K864" t="s">
        <v>2036</v>
      </c>
    </row>
    <row r="865" spans="1:11" x14ac:dyDescent="0.3">
      <c r="A865" s="6" t="s">
        <v>874</v>
      </c>
      <c r="B865" t="s">
        <v>1871</v>
      </c>
      <c r="C865" t="s">
        <v>2008</v>
      </c>
      <c r="D865">
        <v>15</v>
      </c>
      <c r="E865" t="s">
        <v>2013</v>
      </c>
      <c r="F865" t="s">
        <v>2015</v>
      </c>
      <c r="G865" t="s">
        <v>2022</v>
      </c>
      <c r="H865" t="s">
        <v>2023</v>
      </c>
      <c r="I865">
        <v>71</v>
      </c>
      <c r="J865" t="s">
        <v>2031</v>
      </c>
      <c r="K865" t="s">
        <v>2035</v>
      </c>
    </row>
    <row r="866" spans="1:11" x14ac:dyDescent="0.3">
      <c r="A866" s="6" t="s">
        <v>875</v>
      </c>
      <c r="B866" t="s">
        <v>1872</v>
      </c>
      <c r="C866" t="s">
        <v>2008</v>
      </c>
      <c r="D866">
        <v>14</v>
      </c>
      <c r="E866" t="s">
        <v>2009</v>
      </c>
      <c r="F866" t="s">
        <v>2014</v>
      </c>
      <c r="G866" t="s">
        <v>2021</v>
      </c>
      <c r="H866" t="s">
        <v>2023</v>
      </c>
      <c r="I866">
        <v>88</v>
      </c>
      <c r="J866" t="s">
        <v>2027</v>
      </c>
      <c r="K866" t="s">
        <v>2035</v>
      </c>
    </row>
    <row r="867" spans="1:11" x14ac:dyDescent="0.3">
      <c r="A867" s="6" t="s">
        <v>876</v>
      </c>
      <c r="B867" t="s">
        <v>1873</v>
      </c>
      <c r="C867" t="s">
        <v>2007</v>
      </c>
      <c r="D867">
        <v>18</v>
      </c>
      <c r="E867" t="s">
        <v>2009</v>
      </c>
      <c r="F867" t="s">
        <v>2016</v>
      </c>
      <c r="G867" t="s">
        <v>2020</v>
      </c>
      <c r="H867" t="s">
        <v>2024</v>
      </c>
      <c r="I867">
        <v>40</v>
      </c>
      <c r="J867" t="s">
        <v>2028</v>
      </c>
      <c r="K867" t="s">
        <v>2036</v>
      </c>
    </row>
    <row r="868" spans="1:11" x14ac:dyDescent="0.3">
      <c r="A868" s="6" t="s">
        <v>877</v>
      </c>
      <c r="B868" t="s">
        <v>1874</v>
      </c>
      <c r="C868" t="s">
        <v>2007</v>
      </c>
      <c r="D868">
        <v>14</v>
      </c>
      <c r="E868" t="s">
        <v>2010</v>
      </c>
      <c r="F868" t="s">
        <v>2015</v>
      </c>
      <c r="G868" t="s">
        <v>2020</v>
      </c>
      <c r="H868" t="s">
        <v>2024</v>
      </c>
      <c r="I868">
        <v>16</v>
      </c>
      <c r="J868" t="s">
        <v>2025</v>
      </c>
      <c r="K868" t="s">
        <v>2036</v>
      </c>
    </row>
    <row r="869" spans="1:11" x14ac:dyDescent="0.3">
      <c r="A869" s="6" t="s">
        <v>878</v>
      </c>
      <c r="B869" t="s">
        <v>1875</v>
      </c>
      <c r="C869" t="s">
        <v>2008</v>
      </c>
      <c r="D869">
        <v>15</v>
      </c>
      <c r="E869" t="s">
        <v>2013</v>
      </c>
      <c r="F869" t="s">
        <v>2017</v>
      </c>
      <c r="G869" t="s">
        <v>2021</v>
      </c>
      <c r="H869" t="s">
        <v>2023</v>
      </c>
      <c r="I869">
        <v>70</v>
      </c>
      <c r="J869" t="s">
        <v>2027</v>
      </c>
      <c r="K869" t="s">
        <v>2035</v>
      </c>
    </row>
    <row r="870" spans="1:11" x14ac:dyDescent="0.3">
      <c r="A870" s="6" t="s">
        <v>879</v>
      </c>
      <c r="B870" t="s">
        <v>1876</v>
      </c>
      <c r="C870" t="s">
        <v>2007</v>
      </c>
      <c r="D870">
        <v>16</v>
      </c>
      <c r="E870" t="s">
        <v>2010</v>
      </c>
      <c r="F870" t="s">
        <v>2016</v>
      </c>
      <c r="G870" t="s">
        <v>2021</v>
      </c>
      <c r="H870" t="s">
        <v>2023</v>
      </c>
      <c r="I870">
        <v>76</v>
      </c>
      <c r="J870" t="s">
        <v>2028</v>
      </c>
      <c r="K870" t="s">
        <v>2035</v>
      </c>
    </row>
    <row r="871" spans="1:11" x14ac:dyDescent="0.3">
      <c r="A871" s="6" t="s">
        <v>880</v>
      </c>
      <c r="B871" t="s">
        <v>1877</v>
      </c>
      <c r="C871" t="s">
        <v>2007</v>
      </c>
      <c r="D871">
        <v>14</v>
      </c>
      <c r="E871" t="s">
        <v>2010</v>
      </c>
      <c r="F871" t="s">
        <v>2017</v>
      </c>
      <c r="G871" t="s">
        <v>2018</v>
      </c>
      <c r="H871" t="s">
        <v>2023</v>
      </c>
      <c r="I871">
        <v>63</v>
      </c>
      <c r="J871" t="s">
        <v>2034</v>
      </c>
      <c r="K871" t="s">
        <v>2035</v>
      </c>
    </row>
    <row r="872" spans="1:11" x14ac:dyDescent="0.3">
      <c r="A872" s="6" t="s">
        <v>881</v>
      </c>
      <c r="B872" t="s">
        <v>1878</v>
      </c>
      <c r="C872" t="s">
        <v>2007</v>
      </c>
      <c r="D872">
        <v>14</v>
      </c>
      <c r="E872" t="s">
        <v>2011</v>
      </c>
      <c r="F872" t="s">
        <v>2017</v>
      </c>
      <c r="G872" t="s">
        <v>2020</v>
      </c>
      <c r="H872" t="s">
        <v>2024</v>
      </c>
      <c r="I872">
        <v>28</v>
      </c>
      <c r="J872" t="s">
        <v>2033</v>
      </c>
      <c r="K872" t="s">
        <v>2036</v>
      </c>
    </row>
    <row r="873" spans="1:11" x14ac:dyDescent="0.3">
      <c r="A873" s="6" t="s">
        <v>882</v>
      </c>
      <c r="B873" t="s">
        <v>1879</v>
      </c>
      <c r="C873" t="s">
        <v>2007</v>
      </c>
      <c r="D873">
        <v>16</v>
      </c>
      <c r="E873" t="s">
        <v>2010</v>
      </c>
      <c r="F873" t="s">
        <v>2016</v>
      </c>
      <c r="G873" t="s">
        <v>2019</v>
      </c>
      <c r="H873" t="s">
        <v>2023</v>
      </c>
      <c r="I873">
        <v>94</v>
      </c>
      <c r="J873" t="s">
        <v>2029</v>
      </c>
      <c r="K873" t="s">
        <v>2035</v>
      </c>
    </row>
    <row r="874" spans="1:11" x14ac:dyDescent="0.3">
      <c r="A874" s="6" t="s">
        <v>883</v>
      </c>
      <c r="B874" t="s">
        <v>1880</v>
      </c>
      <c r="C874" t="s">
        <v>2007</v>
      </c>
      <c r="D874">
        <v>15</v>
      </c>
      <c r="E874" t="s">
        <v>2013</v>
      </c>
      <c r="F874" t="s">
        <v>2015</v>
      </c>
      <c r="G874" t="s">
        <v>2020</v>
      </c>
      <c r="H874" t="s">
        <v>2023</v>
      </c>
      <c r="I874">
        <v>73</v>
      </c>
      <c r="J874" t="s">
        <v>2027</v>
      </c>
      <c r="K874" t="s">
        <v>2035</v>
      </c>
    </row>
    <row r="875" spans="1:11" x14ac:dyDescent="0.3">
      <c r="A875" s="6" t="s">
        <v>884</v>
      </c>
      <c r="B875" t="s">
        <v>1881</v>
      </c>
      <c r="C875" t="s">
        <v>2008</v>
      </c>
      <c r="D875">
        <v>15</v>
      </c>
      <c r="E875" t="s">
        <v>2010</v>
      </c>
      <c r="F875" t="s">
        <v>2014</v>
      </c>
      <c r="G875" t="s">
        <v>2018</v>
      </c>
      <c r="H875" t="s">
        <v>2024</v>
      </c>
      <c r="I875">
        <v>32</v>
      </c>
      <c r="J875" t="s">
        <v>2031</v>
      </c>
      <c r="K875" t="s">
        <v>2036</v>
      </c>
    </row>
    <row r="876" spans="1:11" x14ac:dyDescent="0.3">
      <c r="A876" s="6" t="s">
        <v>885</v>
      </c>
      <c r="B876" t="s">
        <v>1882</v>
      </c>
      <c r="C876" t="s">
        <v>2007</v>
      </c>
      <c r="D876">
        <v>14</v>
      </c>
      <c r="E876" t="s">
        <v>2010</v>
      </c>
      <c r="F876" t="s">
        <v>2017</v>
      </c>
      <c r="G876" t="s">
        <v>2019</v>
      </c>
      <c r="H876" t="s">
        <v>2024</v>
      </c>
      <c r="I876">
        <v>38</v>
      </c>
      <c r="J876" t="s">
        <v>2029</v>
      </c>
      <c r="K876" t="s">
        <v>2036</v>
      </c>
    </row>
    <row r="877" spans="1:11" x14ac:dyDescent="0.3">
      <c r="A877" s="6" t="s">
        <v>886</v>
      </c>
      <c r="B877" t="s">
        <v>1883</v>
      </c>
      <c r="C877" t="s">
        <v>2007</v>
      </c>
      <c r="D877">
        <v>14</v>
      </c>
      <c r="E877" t="s">
        <v>2010</v>
      </c>
      <c r="F877" t="s">
        <v>2017</v>
      </c>
      <c r="G877" t="s">
        <v>2021</v>
      </c>
      <c r="H877" t="s">
        <v>2023</v>
      </c>
      <c r="I877">
        <v>69</v>
      </c>
      <c r="J877" t="s">
        <v>2025</v>
      </c>
      <c r="K877" t="s">
        <v>2035</v>
      </c>
    </row>
    <row r="878" spans="1:11" x14ac:dyDescent="0.3">
      <c r="A878" s="6" t="s">
        <v>887</v>
      </c>
      <c r="B878" t="s">
        <v>1884</v>
      </c>
      <c r="C878" t="s">
        <v>2008</v>
      </c>
      <c r="D878">
        <v>18</v>
      </c>
      <c r="E878" t="s">
        <v>2012</v>
      </c>
      <c r="F878" t="s">
        <v>2017</v>
      </c>
      <c r="G878" t="s">
        <v>2021</v>
      </c>
      <c r="H878" t="s">
        <v>2024</v>
      </c>
      <c r="I878">
        <v>7</v>
      </c>
      <c r="J878" t="s">
        <v>2029</v>
      </c>
      <c r="K878" t="s">
        <v>2036</v>
      </c>
    </row>
    <row r="879" spans="1:11" x14ac:dyDescent="0.3">
      <c r="A879" s="6" t="s">
        <v>888</v>
      </c>
      <c r="B879" t="s">
        <v>1885</v>
      </c>
      <c r="C879" t="s">
        <v>2008</v>
      </c>
      <c r="D879">
        <v>16</v>
      </c>
      <c r="E879" t="s">
        <v>2013</v>
      </c>
      <c r="F879" t="s">
        <v>2015</v>
      </c>
      <c r="G879" t="s">
        <v>2018</v>
      </c>
      <c r="H879" t="s">
        <v>2023</v>
      </c>
      <c r="I879">
        <v>27</v>
      </c>
      <c r="J879" t="s">
        <v>2030</v>
      </c>
      <c r="K879" t="s">
        <v>2036</v>
      </c>
    </row>
    <row r="880" spans="1:11" x14ac:dyDescent="0.3">
      <c r="A880" s="6" t="s">
        <v>889</v>
      </c>
      <c r="B880" t="s">
        <v>1886</v>
      </c>
      <c r="C880" t="s">
        <v>2008</v>
      </c>
      <c r="D880">
        <v>18</v>
      </c>
      <c r="E880" t="s">
        <v>2012</v>
      </c>
      <c r="F880" t="s">
        <v>2014</v>
      </c>
      <c r="G880" t="s">
        <v>2019</v>
      </c>
      <c r="H880" t="s">
        <v>2023</v>
      </c>
      <c r="I880">
        <v>28</v>
      </c>
      <c r="J880" t="s">
        <v>2032</v>
      </c>
      <c r="K880" t="s">
        <v>2036</v>
      </c>
    </row>
    <row r="881" spans="1:11" x14ac:dyDescent="0.3">
      <c r="A881" s="6" t="s">
        <v>890</v>
      </c>
      <c r="B881" t="s">
        <v>1887</v>
      </c>
      <c r="C881" t="s">
        <v>2008</v>
      </c>
      <c r="D881">
        <v>15</v>
      </c>
      <c r="E881" t="s">
        <v>2009</v>
      </c>
      <c r="F881" t="s">
        <v>2015</v>
      </c>
      <c r="G881" t="s">
        <v>2021</v>
      </c>
      <c r="H881" t="s">
        <v>2024</v>
      </c>
      <c r="I881">
        <v>100</v>
      </c>
      <c r="J881" t="s">
        <v>2034</v>
      </c>
      <c r="K881" t="s">
        <v>2035</v>
      </c>
    </row>
    <row r="882" spans="1:11" x14ac:dyDescent="0.3">
      <c r="A882" s="6" t="s">
        <v>891</v>
      </c>
      <c r="B882" t="s">
        <v>1888</v>
      </c>
      <c r="C882" t="s">
        <v>2007</v>
      </c>
      <c r="D882">
        <v>14</v>
      </c>
      <c r="E882" t="s">
        <v>2013</v>
      </c>
      <c r="F882" t="s">
        <v>2014</v>
      </c>
      <c r="G882" t="s">
        <v>2019</v>
      </c>
      <c r="H882" t="s">
        <v>2024</v>
      </c>
      <c r="I882">
        <v>29</v>
      </c>
      <c r="J882" t="s">
        <v>2028</v>
      </c>
      <c r="K882" t="s">
        <v>2036</v>
      </c>
    </row>
    <row r="883" spans="1:11" x14ac:dyDescent="0.3">
      <c r="A883" s="6" t="s">
        <v>892</v>
      </c>
      <c r="B883" t="s">
        <v>1889</v>
      </c>
      <c r="C883" t="s">
        <v>2007</v>
      </c>
      <c r="D883">
        <v>17</v>
      </c>
      <c r="E883" t="s">
        <v>2013</v>
      </c>
      <c r="F883" t="s">
        <v>2014</v>
      </c>
      <c r="G883" t="s">
        <v>2021</v>
      </c>
      <c r="H883" t="s">
        <v>2023</v>
      </c>
      <c r="I883">
        <v>67</v>
      </c>
      <c r="J883" t="s">
        <v>2026</v>
      </c>
      <c r="K883" t="s">
        <v>2035</v>
      </c>
    </row>
    <row r="884" spans="1:11" x14ac:dyDescent="0.3">
      <c r="A884" s="6" t="s">
        <v>893</v>
      </c>
      <c r="B884" t="s">
        <v>1890</v>
      </c>
      <c r="C884" t="s">
        <v>2007</v>
      </c>
      <c r="D884">
        <v>17</v>
      </c>
      <c r="E884" t="s">
        <v>2012</v>
      </c>
      <c r="F884" t="s">
        <v>2015</v>
      </c>
      <c r="G884" t="s">
        <v>2022</v>
      </c>
      <c r="H884" t="s">
        <v>2023</v>
      </c>
      <c r="I884">
        <v>90</v>
      </c>
      <c r="J884" t="s">
        <v>2029</v>
      </c>
      <c r="K884" t="s">
        <v>2035</v>
      </c>
    </row>
    <row r="885" spans="1:11" x14ac:dyDescent="0.3">
      <c r="A885" s="6" t="s">
        <v>894</v>
      </c>
      <c r="B885" t="s">
        <v>1891</v>
      </c>
      <c r="C885" t="s">
        <v>2007</v>
      </c>
      <c r="D885">
        <v>15</v>
      </c>
      <c r="E885" t="s">
        <v>2009</v>
      </c>
      <c r="F885" t="s">
        <v>2015</v>
      </c>
      <c r="G885" t="s">
        <v>2019</v>
      </c>
      <c r="H885" t="s">
        <v>2023</v>
      </c>
      <c r="I885">
        <v>85</v>
      </c>
      <c r="J885" t="s">
        <v>2029</v>
      </c>
      <c r="K885" t="s">
        <v>2035</v>
      </c>
    </row>
    <row r="886" spans="1:11" x14ac:dyDescent="0.3">
      <c r="A886" s="6" t="s">
        <v>895</v>
      </c>
      <c r="B886" t="s">
        <v>1892</v>
      </c>
      <c r="C886" t="s">
        <v>2007</v>
      </c>
      <c r="D886">
        <v>17</v>
      </c>
      <c r="E886" t="s">
        <v>2011</v>
      </c>
      <c r="F886" t="s">
        <v>2017</v>
      </c>
      <c r="G886" t="s">
        <v>2019</v>
      </c>
      <c r="H886" t="s">
        <v>2023</v>
      </c>
      <c r="I886">
        <v>48</v>
      </c>
      <c r="J886" t="s">
        <v>2025</v>
      </c>
      <c r="K886" t="s">
        <v>2036</v>
      </c>
    </row>
    <row r="887" spans="1:11" x14ac:dyDescent="0.3">
      <c r="A887" s="6" t="s">
        <v>896</v>
      </c>
      <c r="B887" t="s">
        <v>1893</v>
      </c>
      <c r="C887" t="s">
        <v>2008</v>
      </c>
      <c r="D887">
        <v>16</v>
      </c>
      <c r="E887" t="s">
        <v>2010</v>
      </c>
      <c r="F887" t="s">
        <v>2017</v>
      </c>
      <c r="G887" t="s">
        <v>2021</v>
      </c>
      <c r="H887" t="s">
        <v>2023</v>
      </c>
      <c r="I887">
        <v>10</v>
      </c>
      <c r="J887" t="s">
        <v>2026</v>
      </c>
      <c r="K887" t="s">
        <v>2036</v>
      </c>
    </row>
    <row r="888" spans="1:11" x14ac:dyDescent="0.3">
      <c r="A888" s="6" t="s">
        <v>897</v>
      </c>
      <c r="B888" t="s">
        <v>1894</v>
      </c>
      <c r="C888" t="s">
        <v>2008</v>
      </c>
      <c r="D888">
        <v>18</v>
      </c>
      <c r="E888" t="s">
        <v>2009</v>
      </c>
      <c r="F888" t="s">
        <v>2016</v>
      </c>
      <c r="G888" t="s">
        <v>2022</v>
      </c>
      <c r="H888" t="s">
        <v>2024</v>
      </c>
      <c r="I888">
        <v>21</v>
      </c>
      <c r="J888" t="s">
        <v>2026</v>
      </c>
      <c r="K888" t="s">
        <v>2036</v>
      </c>
    </row>
    <row r="889" spans="1:11" x14ac:dyDescent="0.3">
      <c r="A889" s="6" t="s">
        <v>898</v>
      </c>
      <c r="B889" t="s">
        <v>1895</v>
      </c>
      <c r="C889" t="s">
        <v>2007</v>
      </c>
      <c r="D889">
        <v>15</v>
      </c>
      <c r="E889" t="s">
        <v>2012</v>
      </c>
      <c r="F889" t="s">
        <v>2014</v>
      </c>
      <c r="G889" t="s">
        <v>2022</v>
      </c>
      <c r="H889" t="s">
        <v>2023</v>
      </c>
      <c r="I889">
        <v>14</v>
      </c>
      <c r="J889" t="s">
        <v>2032</v>
      </c>
      <c r="K889" t="s">
        <v>2036</v>
      </c>
    </row>
    <row r="890" spans="1:11" x14ac:dyDescent="0.3">
      <c r="A890" s="6" t="s">
        <v>899</v>
      </c>
      <c r="B890" t="s">
        <v>1896</v>
      </c>
      <c r="C890" t="s">
        <v>2007</v>
      </c>
      <c r="D890">
        <v>15</v>
      </c>
      <c r="E890" t="s">
        <v>2012</v>
      </c>
      <c r="F890" t="s">
        <v>2017</v>
      </c>
      <c r="G890" t="s">
        <v>2020</v>
      </c>
      <c r="H890" t="s">
        <v>2024</v>
      </c>
      <c r="I890">
        <v>78</v>
      </c>
      <c r="J890" t="s">
        <v>2032</v>
      </c>
      <c r="K890" t="s">
        <v>2035</v>
      </c>
    </row>
    <row r="891" spans="1:11" x14ac:dyDescent="0.3">
      <c r="A891" s="6" t="s">
        <v>900</v>
      </c>
      <c r="B891" t="s">
        <v>1897</v>
      </c>
      <c r="C891" t="s">
        <v>2007</v>
      </c>
      <c r="D891">
        <v>15</v>
      </c>
      <c r="E891" t="s">
        <v>2011</v>
      </c>
      <c r="F891" t="s">
        <v>2015</v>
      </c>
      <c r="G891" t="s">
        <v>2019</v>
      </c>
      <c r="H891" t="s">
        <v>2023</v>
      </c>
      <c r="I891">
        <v>26</v>
      </c>
      <c r="J891" t="s">
        <v>2027</v>
      </c>
      <c r="K891" t="s">
        <v>2036</v>
      </c>
    </row>
    <row r="892" spans="1:11" x14ac:dyDescent="0.3">
      <c r="A892" s="6" t="s">
        <v>901</v>
      </c>
      <c r="B892" t="s">
        <v>1898</v>
      </c>
      <c r="C892" t="s">
        <v>2007</v>
      </c>
      <c r="D892">
        <v>17</v>
      </c>
      <c r="E892" t="s">
        <v>2012</v>
      </c>
      <c r="F892" t="s">
        <v>2015</v>
      </c>
      <c r="G892" t="s">
        <v>2022</v>
      </c>
      <c r="H892" t="s">
        <v>2023</v>
      </c>
      <c r="I892">
        <v>85</v>
      </c>
      <c r="J892" t="s">
        <v>2027</v>
      </c>
      <c r="K892" t="s">
        <v>2035</v>
      </c>
    </row>
    <row r="893" spans="1:11" x14ac:dyDescent="0.3">
      <c r="A893" s="6" t="s">
        <v>902</v>
      </c>
      <c r="B893" t="s">
        <v>1899</v>
      </c>
      <c r="C893" t="s">
        <v>2007</v>
      </c>
      <c r="D893">
        <v>16</v>
      </c>
      <c r="E893" t="s">
        <v>2012</v>
      </c>
      <c r="F893" t="s">
        <v>2016</v>
      </c>
      <c r="G893" t="s">
        <v>2018</v>
      </c>
      <c r="H893" t="s">
        <v>2023</v>
      </c>
      <c r="I893">
        <v>7</v>
      </c>
      <c r="J893" t="s">
        <v>2028</v>
      </c>
      <c r="K893" t="s">
        <v>2036</v>
      </c>
    </row>
    <row r="894" spans="1:11" x14ac:dyDescent="0.3">
      <c r="A894" s="6" t="s">
        <v>903</v>
      </c>
      <c r="B894" t="s">
        <v>1900</v>
      </c>
      <c r="C894" t="s">
        <v>2008</v>
      </c>
      <c r="D894">
        <v>14</v>
      </c>
      <c r="E894" t="s">
        <v>2011</v>
      </c>
      <c r="F894" t="s">
        <v>2014</v>
      </c>
      <c r="G894" t="s">
        <v>2018</v>
      </c>
      <c r="H894" t="s">
        <v>2023</v>
      </c>
      <c r="I894">
        <v>58</v>
      </c>
      <c r="J894" t="s">
        <v>2030</v>
      </c>
      <c r="K894" t="s">
        <v>2035</v>
      </c>
    </row>
    <row r="895" spans="1:11" x14ac:dyDescent="0.3">
      <c r="A895" s="6" t="s">
        <v>904</v>
      </c>
      <c r="B895" t="s">
        <v>1901</v>
      </c>
      <c r="C895" t="s">
        <v>2008</v>
      </c>
      <c r="D895">
        <v>15</v>
      </c>
      <c r="E895" t="s">
        <v>2010</v>
      </c>
      <c r="F895" t="s">
        <v>2016</v>
      </c>
      <c r="G895" t="s">
        <v>2022</v>
      </c>
      <c r="H895" t="s">
        <v>2023</v>
      </c>
      <c r="I895">
        <v>1</v>
      </c>
      <c r="J895" t="s">
        <v>2026</v>
      </c>
      <c r="K895" t="s">
        <v>2036</v>
      </c>
    </row>
    <row r="896" spans="1:11" x14ac:dyDescent="0.3">
      <c r="A896" s="6" t="s">
        <v>905</v>
      </c>
      <c r="B896" t="s">
        <v>1902</v>
      </c>
      <c r="C896" t="s">
        <v>2007</v>
      </c>
      <c r="D896">
        <v>15</v>
      </c>
      <c r="E896" t="s">
        <v>2010</v>
      </c>
      <c r="F896" t="s">
        <v>2017</v>
      </c>
      <c r="G896" t="s">
        <v>2019</v>
      </c>
      <c r="H896" t="s">
        <v>2023</v>
      </c>
      <c r="I896">
        <v>87</v>
      </c>
      <c r="J896" t="s">
        <v>2030</v>
      </c>
      <c r="K896" t="s">
        <v>2035</v>
      </c>
    </row>
    <row r="897" spans="1:11" x14ac:dyDescent="0.3">
      <c r="A897" s="6" t="s">
        <v>906</v>
      </c>
      <c r="B897" t="s">
        <v>1903</v>
      </c>
      <c r="C897" t="s">
        <v>2007</v>
      </c>
      <c r="D897">
        <v>18</v>
      </c>
      <c r="E897" t="s">
        <v>2013</v>
      </c>
      <c r="F897" t="s">
        <v>2014</v>
      </c>
      <c r="G897" t="s">
        <v>2021</v>
      </c>
      <c r="H897" t="s">
        <v>2023</v>
      </c>
      <c r="I897">
        <v>0</v>
      </c>
      <c r="J897" t="s">
        <v>2031</v>
      </c>
      <c r="K897" t="s">
        <v>2036</v>
      </c>
    </row>
    <row r="898" spans="1:11" x14ac:dyDescent="0.3">
      <c r="A898" s="6" t="s">
        <v>907</v>
      </c>
      <c r="B898" t="s">
        <v>1904</v>
      </c>
      <c r="C898" t="s">
        <v>2007</v>
      </c>
      <c r="D898">
        <v>17</v>
      </c>
      <c r="E898" t="s">
        <v>2012</v>
      </c>
      <c r="F898" t="s">
        <v>2017</v>
      </c>
      <c r="G898" t="s">
        <v>2019</v>
      </c>
      <c r="H898" t="s">
        <v>2023</v>
      </c>
      <c r="I898">
        <v>77</v>
      </c>
      <c r="J898" t="s">
        <v>2033</v>
      </c>
      <c r="K898" t="s">
        <v>2035</v>
      </c>
    </row>
    <row r="899" spans="1:11" x14ac:dyDescent="0.3">
      <c r="A899" s="6" t="s">
        <v>908</v>
      </c>
      <c r="B899" t="s">
        <v>1905</v>
      </c>
      <c r="C899" t="s">
        <v>2007</v>
      </c>
      <c r="D899">
        <v>16</v>
      </c>
      <c r="E899" t="s">
        <v>2010</v>
      </c>
      <c r="F899" t="s">
        <v>2017</v>
      </c>
      <c r="G899" t="s">
        <v>2019</v>
      </c>
      <c r="H899" t="s">
        <v>2024</v>
      </c>
      <c r="I899">
        <v>78</v>
      </c>
      <c r="J899" t="s">
        <v>2025</v>
      </c>
      <c r="K899" t="s">
        <v>2035</v>
      </c>
    </row>
    <row r="900" spans="1:11" x14ac:dyDescent="0.3">
      <c r="A900" s="6" t="s">
        <v>909</v>
      </c>
      <c r="B900" t="s">
        <v>1906</v>
      </c>
      <c r="C900" t="s">
        <v>2007</v>
      </c>
      <c r="D900">
        <v>17</v>
      </c>
      <c r="E900" t="s">
        <v>2013</v>
      </c>
      <c r="F900" t="s">
        <v>2016</v>
      </c>
      <c r="G900" t="s">
        <v>2019</v>
      </c>
      <c r="H900" t="s">
        <v>2024</v>
      </c>
      <c r="I900">
        <v>24</v>
      </c>
      <c r="J900" t="s">
        <v>2025</v>
      </c>
      <c r="K900" t="s">
        <v>2036</v>
      </c>
    </row>
    <row r="901" spans="1:11" x14ac:dyDescent="0.3">
      <c r="A901" s="6" t="s">
        <v>910</v>
      </c>
      <c r="B901" t="s">
        <v>1907</v>
      </c>
      <c r="C901" t="s">
        <v>2008</v>
      </c>
      <c r="D901">
        <v>16</v>
      </c>
      <c r="E901" t="s">
        <v>2010</v>
      </c>
      <c r="F901" t="s">
        <v>2014</v>
      </c>
      <c r="G901" t="s">
        <v>2018</v>
      </c>
      <c r="H901" t="s">
        <v>2024</v>
      </c>
      <c r="I901">
        <v>7</v>
      </c>
      <c r="J901" t="s">
        <v>2029</v>
      </c>
      <c r="K901" t="s">
        <v>2036</v>
      </c>
    </row>
    <row r="902" spans="1:11" x14ac:dyDescent="0.3">
      <c r="A902" s="6" t="s">
        <v>911</v>
      </c>
      <c r="B902" t="s">
        <v>1908</v>
      </c>
      <c r="C902" t="s">
        <v>2008</v>
      </c>
      <c r="D902">
        <v>16</v>
      </c>
      <c r="E902" t="s">
        <v>2009</v>
      </c>
      <c r="F902" t="s">
        <v>2016</v>
      </c>
      <c r="G902" t="s">
        <v>2020</v>
      </c>
      <c r="H902" t="s">
        <v>2023</v>
      </c>
      <c r="I902">
        <v>12</v>
      </c>
      <c r="J902" t="s">
        <v>2029</v>
      </c>
      <c r="K902" t="s">
        <v>2036</v>
      </c>
    </row>
    <row r="903" spans="1:11" x14ac:dyDescent="0.3">
      <c r="A903" s="6" t="s">
        <v>912</v>
      </c>
      <c r="B903" t="s">
        <v>1909</v>
      </c>
      <c r="C903" t="s">
        <v>2008</v>
      </c>
      <c r="D903">
        <v>16</v>
      </c>
      <c r="E903" t="s">
        <v>2013</v>
      </c>
      <c r="F903" t="s">
        <v>2015</v>
      </c>
      <c r="G903" t="s">
        <v>2021</v>
      </c>
      <c r="H903" t="s">
        <v>2023</v>
      </c>
      <c r="I903">
        <v>75</v>
      </c>
      <c r="J903" t="s">
        <v>2027</v>
      </c>
      <c r="K903" t="s">
        <v>2035</v>
      </c>
    </row>
    <row r="904" spans="1:11" x14ac:dyDescent="0.3">
      <c r="A904" s="6" t="s">
        <v>913</v>
      </c>
      <c r="B904" t="s">
        <v>1910</v>
      </c>
      <c r="C904" t="s">
        <v>2007</v>
      </c>
      <c r="D904">
        <v>17</v>
      </c>
      <c r="E904" t="s">
        <v>2011</v>
      </c>
      <c r="F904" t="s">
        <v>2017</v>
      </c>
      <c r="G904" t="s">
        <v>2021</v>
      </c>
      <c r="H904" t="s">
        <v>2024</v>
      </c>
      <c r="I904">
        <v>30</v>
      </c>
      <c r="J904" t="s">
        <v>2026</v>
      </c>
      <c r="K904" t="s">
        <v>2036</v>
      </c>
    </row>
    <row r="905" spans="1:11" x14ac:dyDescent="0.3">
      <c r="A905" s="6" t="s">
        <v>914</v>
      </c>
      <c r="B905" t="s">
        <v>1911</v>
      </c>
      <c r="C905" t="s">
        <v>2008</v>
      </c>
      <c r="D905">
        <v>17</v>
      </c>
      <c r="E905" t="s">
        <v>2010</v>
      </c>
      <c r="F905" t="s">
        <v>2015</v>
      </c>
      <c r="G905" t="s">
        <v>2019</v>
      </c>
      <c r="H905" t="s">
        <v>2023</v>
      </c>
      <c r="I905">
        <v>17</v>
      </c>
      <c r="J905" t="s">
        <v>2027</v>
      </c>
      <c r="K905" t="s">
        <v>2036</v>
      </c>
    </row>
    <row r="906" spans="1:11" x14ac:dyDescent="0.3">
      <c r="A906" s="6" t="s">
        <v>915</v>
      </c>
      <c r="B906" t="s">
        <v>1912</v>
      </c>
      <c r="C906" t="s">
        <v>2008</v>
      </c>
      <c r="D906">
        <v>14</v>
      </c>
      <c r="E906" t="s">
        <v>2009</v>
      </c>
      <c r="F906" t="s">
        <v>2016</v>
      </c>
      <c r="G906" t="s">
        <v>2018</v>
      </c>
      <c r="H906" t="s">
        <v>2024</v>
      </c>
      <c r="I906">
        <v>68</v>
      </c>
      <c r="J906" t="s">
        <v>2030</v>
      </c>
      <c r="K906" t="s">
        <v>2035</v>
      </c>
    </row>
    <row r="907" spans="1:11" x14ac:dyDescent="0.3">
      <c r="A907" s="6" t="s">
        <v>916</v>
      </c>
      <c r="B907" t="s">
        <v>1913</v>
      </c>
      <c r="C907" t="s">
        <v>2008</v>
      </c>
      <c r="D907">
        <v>14</v>
      </c>
      <c r="E907" t="s">
        <v>2010</v>
      </c>
      <c r="F907" t="s">
        <v>2017</v>
      </c>
      <c r="G907" t="s">
        <v>2019</v>
      </c>
      <c r="H907" t="s">
        <v>2024</v>
      </c>
      <c r="I907">
        <v>31</v>
      </c>
      <c r="J907" t="s">
        <v>2031</v>
      </c>
      <c r="K907" t="s">
        <v>2036</v>
      </c>
    </row>
    <row r="908" spans="1:11" x14ac:dyDescent="0.3">
      <c r="A908" s="6" t="s">
        <v>917</v>
      </c>
      <c r="B908" t="s">
        <v>1914</v>
      </c>
      <c r="C908" t="s">
        <v>2007</v>
      </c>
      <c r="D908">
        <v>16</v>
      </c>
      <c r="E908" t="s">
        <v>2011</v>
      </c>
      <c r="F908" t="s">
        <v>2015</v>
      </c>
      <c r="G908" t="s">
        <v>2022</v>
      </c>
      <c r="H908" t="s">
        <v>2024</v>
      </c>
      <c r="I908">
        <v>37</v>
      </c>
      <c r="J908" t="s">
        <v>2027</v>
      </c>
      <c r="K908" t="s">
        <v>2036</v>
      </c>
    </row>
    <row r="909" spans="1:11" x14ac:dyDescent="0.3">
      <c r="A909" s="6" t="s">
        <v>918</v>
      </c>
      <c r="B909" t="s">
        <v>1915</v>
      </c>
      <c r="C909" t="s">
        <v>2008</v>
      </c>
      <c r="D909">
        <v>16</v>
      </c>
      <c r="E909" t="s">
        <v>2011</v>
      </c>
      <c r="F909" t="s">
        <v>2016</v>
      </c>
      <c r="G909" t="s">
        <v>2018</v>
      </c>
      <c r="H909" t="s">
        <v>2024</v>
      </c>
      <c r="I909">
        <v>54</v>
      </c>
      <c r="J909" t="s">
        <v>2029</v>
      </c>
      <c r="K909" t="s">
        <v>2035</v>
      </c>
    </row>
    <row r="910" spans="1:11" x14ac:dyDescent="0.3">
      <c r="A910" s="6" t="s">
        <v>919</v>
      </c>
      <c r="B910" t="s">
        <v>1916</v>
      </c>
      <c r="C910" t="s">
        <v>2008</v>
      </c>
      <c r="D910">
        <v>16</v>
      </c>
      <c r="E910" t="s">
        <v>2010</v>
      </c>
      <c r="F910" t="s">
        <v>2017</v>
      </c>
      <c r="G910" t="s">
        <v>2022</v>
      </c>
      <c r="H910" t="s">
        <v>2023</v>
      </c>
      <c r="I910">
        <v>90</v>
      </c>
      <c r="J910" t="s">
        <v>2027</v>
      </c>
      <c r="K910" t="s">
        <v>2035</v>
      </c>
    </row>
    <row r="911" spans="1:11" x14ac:dyDescent="0.3">
      <c r="A911" s="6" t="s">
        <v>920</v>
      </c>
      <c r="B911" t="s">
        <v>1917</v>
      </c>
      <c r="C911" t="s">
        <v>2007</v>
      </c>
      <c r="D911">
        <v>14</v>
      </c>
      <c r="E911" t="s">
        <v>2012</v>
      </c>
      <c r="F911" t="s">
        <v>2017</v>
      </c>
      <c r="G911" t="s">
        <v>2022</v>
      </c>
      <c r="H911" t="s">
        <v>2023</v>
      </c>
      <c r="I911">
        <v>44</v>
      </c>
      <c r="J911" t="s">
        <v>2029</v>
      </c>
      <c r="K911" t="s">
        <v>2036</v>
      </c>
    </row>
    <row r="912" spans="1:11" x14ac:dyDescent="0.3">
      <c r="A912" s="6" t="s">
        <v>921</v>
      </c>
      <c r="B912" t="s">
        <v>1918</v>
      </c>
      <c r="C912" t="s">
        <v>2008</v>
      </c>
      <c r="D912">
        <v>18</v>
      </c>
      <c r="E912" t="s">
        <v>2013</v>
      </c>
      <c r="F912" t="s">
        <v>2017</v>
      </c>
      <c r="G912" t="s">
        <v>2020</v>
      </c>
      <c r="H912" t="s">
        <v>2024</v>
      </c>
      <c r="I912">
        <v>36</v>
      </c>
      <c r="J912" t="s">
        <v>2027</v>
      </c>
      <c r="K912" t="s">
        <v>2036</v>
      </c>
    </row>
    <row r="913" spans="1:11" x14ac:dyDescent="0.3">
      <c r="A913" s="6" t="s">
        <v>922</v>
      </c>
      <c r="B913" t="s">
        <v>1919</v>
      </c>
      <c r="C913" t="s">
        <v>2007</v>
      </c>
      <c r="D913">
        <v>16</v>
      </c>
      <c r="E913" t="s">
        <v>2011</v>
      </c>
      <c r="F913" t="s">
        <v>2017</v>
      </c>
      <c r="G913" t="s">
        <v>2021</v>
      </c>
      <c r="H913" t="s">
        <v>2024</v>
      </c>
      <c r="I913">
        <v>0</v>
      </c>
      <c r="J913" t="s">
        <v>2034</v>
      </c>
      <c r="K913" t="s">
        <v>2036</v>
      </c>
    </row>
    <row r="914" spans="1:11" x14ac:dyDescent="0.3">
      <c r="A914" s="6" t="s">
        <v>923</v>
      </c>
      <c r="B914" t="s">
        <v>1920</v>
      </c>
      <c r="C914" t="s">
        <v>2008</v>
      </c>
      <c r="D914">
        <v>15</v>
      </c>
      <c r="E914" t="s">
        <v>2010</v>
      </c>
      <c r="F914" t="s">
        <v>2016</v>
      </c>
      <c r="G914" t="s">
        <v>2022</v>
      </c>
      <c r="H914" t="s">
        <v>2024</v>
      </c>
      <c r="I914">
        <v>50</v>
      </c>
      <c r="J914" t="s">
        <v>2032</v>
      </c>
      <c r="K914" t="s">
        <v>2035</v>
      </c>
    </row>
    <row r="915" spans="1:11" x14ac:dyDescent="0.3">
      <c r="A915" s="6" t="s">
        <v>924</v>
      </c>
      <c r="B915" t="s">
        <v>1921</v>
      </c>
      <c r="C915" t="s">
        <v>2008</v>
      </c>
      <c r="D915">
        <v>14</v>
      </c>
      <c r="E915" t="s">
        <v>2010</v>
      </c>
      <c r="F915" t="s">
        <v>2016</v>
      </c>
      <c r="G915" t="s">
        <v>2019</v>
      </c>
      <c r="H915" t="s">
        <v>2024</v>
      </c>
      <c r="I915">
        <v>85</v>
      </c>
      <c r="J915" t="s">
        <v>2027</v>
      </c>
      <c r="K915" t="s">
        <v>2035</v>
      </c>
    </row>
    <row r="916" spans="1:11" x14ac:dyDescent="0.3">
      <c r="A916" s="6" t="s">
        <v>925</v>
      </c>
      <c r="B916" t="s">
        <v>1922</v>
      </c>
      <c r="C916" t="s">
        <v>2008</v>
      </c>
      <c r="D916">
        <v>15</v>
      </c>
      <c r="E916" t="s">
        <v>2011</v>
      </c>
      <c r="F916" t="s">
        <v>2015</v>
      </c>
      <c r="G916" t="s">
        <v>2022</v>
      </c>
      <c r="H916" t="s">
        <v>2023</v>
      </c>
      <c r="I916">
        <v>3</v>
      </c>
      <c r="J916" t="s">
        <v>2027</v>
      </c>
      <c r="K916" t="s">
        <v>2036</v>
      </c>
    </row>
    <row r="917" spans="1:11" x14ac:dyDescent="0.3">
      <c r="A917" s="6" t="s">
        <v>926</v>
      </c>
      <c r="B917" t="s">
        <v>1923</v>
      </c>
      <c r="C917" t="s">
        <v>2008</v>
      </c>
      <c r="D917">
        <v>14</v>
      </c>
      <c r="E917" t="s">
        <v>2013</v>
      </c>
      <c r="F917" t="s">
        <v>2014</v>
      </c>
      <c r="G917" t="s">
        <v>2022</v>
      </c>
      <c r="H917" t="s">
        <v>2023</v>
      </c>
      <c r="I917">
        <v>34</v>
      </c>
      <c r="J917" t="s">
        <v>2026</v>
      </c>
      <c r="K917" t="s">
        <v>2036</v>
      </c>
    </row>
    <row r="918" spans="1:11" x14ac:dyDescent="0.3">
      <c r="A918" s="6" t="s">
        <v>927</v>
      </c>
      <c r="B918" t="s">
        <v>1924</v>
      </c>
      <c r="C918" t="s">
        <v>2007</v>
      </c>
      <c r="D918">
        <v>14</v>
      </c>
      <c r="E918" t="s">
        <v>2010</v>
      </c>
      <c r="F918" t="s">
        <v>2014</v>
      </c>
      <c r="G918" t="s">
        <v>2021</v>
      </c>
      <c r="H918" t="s">
        <v>2023</v>
      </c>
      <c r="I918">
        <v>13</v>
      </c>
      <c r="J918" t="s">
        <v>2027</v>
      </c>
      <c r="K918" t="s">
        <v>2036</v>
      </c>
    </row>
    <row r="919" spans="1:11" x14ac:dyDescent="0.3">
      <c r="A919" s="6" t="s">
        <v>928</v>
      </c>
      <c r="B919" t="s">
        <v>1925</v>
      </c>
      <c r="C919" t="s">
        <v>2007</v>
      </c>
      <c r="D919">
        <v>17</v>
      </c>
      <c r="E919" t="s">
        <v>2009</v>
      </c>
      <c r="F919" t="s">
        <v>2016</v>
      </c>
      <c r="G919" t="s">
        <v>2019</v>
      </c>
      <c r="H919" t="s">
        <v>2023</v>
      </c>
      <c r="I919">
        <v>42</v>
      </c>
      <c r="J919" t="s">
        <v>2028</v>
      </c>
      <c r="K919" t="s">
        <v>2036</v>
      </c>
    </row>
    <row r="920" spans="1:11" x14ac:dyDescent="0.3">
      <c r="A920" s="6" t="s">
        <v>929</v>
      </c>
      <c r="B920" t="s">
        <v>1926</v>
      </c>
      <c r="C920" t="s">
        <v>2007</v>
      </c>
      <c r="D920">
        <v>15</v>
      </c>
      <c r="E920" t="s">
        <v>2013</v>
      </c>
      <c r="F920" t="s">
        <v>2017</v>
      </c>
      <c r="G920" t="s">
        <v>2019</v>
      </c>
      <c r="H920" t="s">
        <v>2023</v>
      </c>
      <c r="I920">
        <v>71</v>
      </c>
      <c r="J920" t="s">
        <v>2032</v>
      </c>
      <c r="K920" t="s">
        <v>2035</v>
      </c>
    </row>
    <row r="921" spans="1:11" x14ac:dyDescent="0.3">
      <c r="A921" s="6" t="s">
        <v>930</v>
      </c>
      <c r="B921" t="s">
        <v>1927</v>
      </c>
      <c r="C921" t="s">
        <v>2008</v>
      </c>
      <c r="D921">
        <v>18</v>
      </c>
      <c r="E921" t="s">
        <v>2013</v>
      </c>
      <c r="F921" t="s">
        <v>2015</v>
      </c>
      <c r="G921" t="s">
        <v>2018</v>
      </c>
      <c r="H921" t="s">
        <v>2023</v>
      </c>
      <c r="I921">
        <v>61</v>
      </c>
      <c r="J921" t="s">
        <v>2025</v>
      </c>
      <c r="K921" t="s">
        <v>2035</v>
      </c>
    </row>
    <row r="922" spans="1:11" x14ac:dyDescent="0.3">
      <c r="A922" s="6" t="s">
        <v>931</v>
      </c>
      <c r="B922" t="s">
        <v>1928</v>
      </c>
      <c r="C922" t="s">
        <v>2008</v>
      </c>
      <c r="D922">
        <v>14</v>
      </c>
      <c r="E922" t="s">
        <v>2011</v>
      </c>
      <c r="F922" t="s">
        <v>2016</v>
      </c>
      <c r="G922" t="s">
        <v>2021</v>
      </c>
      <c r="H922" t="s">
        <v>2023</v>
      </c>
      <c r="I922">
        <v>69</v>
      </c>
      <c r="J922" t="s">
        <v>2029</v>
      </c>
      <c r="K922" t="s">
        <v>2035</v>
      </c>
    </row>
    <row r="923" spans="1:11" x14ac:dyDescent="0.3">
      <c r="A923" s="6" t="s">
        <v>932</v>
      </c>
      <c r="B923" t="s">
        <v>1929</v>
      </c>
      <c r="C923" t="s">
        <v>2008</v>
      </c>
      <c r="D923">
        <v>16</v>
      </c>
      <c r="E923" t="s">
        <v>2009</v>
      </c>
      <c r="F923" t="s">
        <v>2014</v>
      </c>
      <c r="G923" t="s">
        <v>2018</v>
      </c>
      <c r="H923" t="s">
        <v>2024</v>
      </c>
      <c r="I923">
        <v>48</v>
      </c>
      <c r="J923" t="s">
        <v>2025</v>
      </c>
      <c r="K923" t="s">
        <v>2036</v>
      </c>
    </row>
    <row r="924" spans="1:11" x14ac:dyDescent="0.3">
      <c r="A924" s="6" t="s">
        <v>933</v>
      </c>
      <c r="B924" t="s">
        <v>1930</v>
      </c>
      <c r="C924" t="s">
        <v>2007</v>
      </c>
      <c r="D924">
        <v>14</v>
      </c>
      <c r="E924" t="s">
        <v>2011</v>
      </c>
      <c r="F924" t="s">
        <v>2014</v>
      </c>
      <c r="G924" t="s">
        <v>2021</v>
      </c>
      <c r="H924" t="s">
        <v>2024</v>
      </c>
      <c r="I924">
        <v>80</v>
      </c>
      <c r="J924" t="s">
        <v>2029</v>
      </c>
      <c r="K924" t="s">
        <v>2035</v>
      </c>
    </row>
    <row r="925" spans="1:11" x14ac:dyDescent="0.3">
      <c r="A925" s="6" t="s">
        <v>934</v>
      </c>
      <c r="B925" t="s">
        <v>1931</v>
      </c>
      <c r="C925" t="s">
        <v>2007</v>
      </c>
      <c r="D925">
        <v>16</v>
      </c>
      <c r="E925" t="s">
        <v>2009</v>
      </c>
      <c r="F925" t="s">
        <v>2015</v>
      </c>
      <c r="G925" t="s">
        <v>2020</v>
      </c>
      <c r="H925" t="s">
        <v>2024</v>
      </c>
      <c r="I925">
        <v>8</v>
      </c>
      <c r="J925" t="s">
        <v>2032</v>
      </c>
      <c r="K925" t="s">
        <v>2036</v>
      </c>
    </row>
    <row r="926" spans="1:11" x14ac:dyDescent="0.3">
      <c r="A926" s="6" t="s">
        <v>935</v>
      </c>
      <c r="B926" t="s">
        <v>1932</v>
      </c>
      <c r="C926" t="s">
        <v>2008</v>
      </c>
      <c r="D926">
        <v>16</v>
      </c>
      <c r="E926" t="s">
        <v>2012</v>
      </c>
      <c r="F926" t="s">
        <v>2017</v>
      </c>
      <c r="G926" t="s">
        <v>2021</v>
      </c>
      <c r="H926" t="s">
        <v>2023</v>
      </c>
      <c r="I926">
        <v>39</v>
      </c>
      <c r="J926" t="s">
        <v>2030</v>
      </c>
      <c r="K926" t="s">
        <v>2036</v>
      </c>
    </row>
    <row r="927" spans="1:11" x14ac:dyDescent="0.3">
      <c r="A927" s="6" t="s">
        <v>936</v>
      </c>
      <c r="B927" t="s">
        <v>1933</v>
      </c>
      <c r="C927" t="s">
        <v>2008</v>
      </c>
      <c r="D927">
        <v>18</v>
      </c>
      <c r="E927" t="s">
        <v>2010</v>
      </c>
      <c r="F927" t="s">
        <v>2016</v>
      </c>
      <c r="G927" t="s">
        <v>2019</v>
      </c>
      <c r="H927" t="s">
        <v>2024</v>
      </c>
      <c r="I927">
        <v>60</v>
      </c>
      <c r="J927" t="s">
        <v>2026</v>
      </c>
      <c r="K927" t="s">
        <v>2035</v>
      </c>
    </row>
    <row r="928" spans="1:11" x14ac:dyDescent="0.3">
      <c r="A928" s="6" t="s">
        <v>937</v>
      </c>
      <c r="B928" t="s">
        <v>1934</v>
      </c>
      <c r="C928" t="s">
        <v>2008</v>
      </c>
      <c r="D928">
        <v>17</v>
      </c>
      <c r="E928" t="s">
        <v>2012</v>
      </c>
      <c r="F928" t="s">
        <v>2014</v>
      </c>
      <c r="G928" t="s">
        <v>2018</v>
      </c>
      <c r="H928" t="s">
        <v>2024</v>
      </c>
      <c r="I928">
        <v>21</v>
      </c>
      <c r="J928" t="s">
        <v>2033</v>
      </c>
      <c r="K928" t="s">
        <v>2036</v>
      </c>
    </row>
    <row r="929" spans="1:11" x14ac:dyDescent="0.3">
      <c r="A929" s="6" t="s">
        <v>938</v>
      </c>
      <c r="B929" t="s">
        <v>1935</v>
      </c>
      <c r="C929" t="s">
        <v>2008</v>
      </c>
      <c r="D929">
        <v>18</v>
      </c>
      <c r="E929" t="s">
        <v>2013</v>
      </c>
      <c r="F929" t="s">
        <v>2015</v>
      </c>
      <c r="G929" t="s">
        <v>2021</v>
      </c>
      <c r="H929" t="s">
        <v>2024</v>
      </c>
      <c r="I929">
        <v>96</v>
      </c>
      <c r="J929" t="s">
        <v>2027</v>
      </c>
      <c r="K929" t="s">
        <v>2035</v>
      </c>
    </row>
    <row r="930" spans="1:11" x14ac:dyDescent="0.3">
      <c r="A930" s="6" t="s">
        <v>939</v>
      </c>
      <c r="B930" t="s">
        <v>1936</v>
      </c>
      <c r="C930" t="s">
        <v>2008</v>
      </c>
      <c r="D930">
        <v>14</v>
      </c>
      <c r="E930" t="s">
        <v>2010</v>
      </c>
      <c r="F930" t="s">
        <v>2017</v>
      </c>
      <c r="G930" t="s">
        <v>2018</v>
      </c>
      <c r="H930" t="s">
        <v>2024</v>
      </c>
      <c r="I930">
        <v>53</v>
      </c>
      <c r="J930" t="s">
        <v>2033</v>
      </c>
      <c r="K930" t="s">
        <v>2035</v>
      </c>
    </row>
    <row r="931" spans="1:11" x14ac:dyDescent="0.3">
      <c r="A931" s="6" t="s">
        <v>940</v>
      </c>
      <c r="B931" t="s">
        <v>1937</v>
      </c>
      <c r="C931" t="s">
        <v>2008</v>
      </c>
      <c r="D931">
        <v>14</v>
      </c>
      <c r="E931" t="s">
        <v>2009</v>
      </c>
      <c r="F931" t="s">
        <v>2016</v>
      </c>
      <c r="G931" t="s">
        <v>2018</v>
      </c>
      <c r="H931" t="s">
        <v>2023</v>
      </c>
      <c r="I931">
        <v>38</v>
      </c>
      <c r="J931" t="s">
        <v>2025</v>
      </c>
      <c r="K931" t="s">
        <v>2036</v>
      </c>
    </row>
    <row r="932" spans="1:11" x14ac:dyDescent="0.3">
      <c r="A932" s="6" t="s">
        <v>941</v>
      </c>
      <c r="B932" t="s">
        <v>1938</v>
      </c>
      <c r="C932" t="s">
        <v>2007</v>
      </c>
      <c r="D932">
        <v>14</v>
      </c>
      <c r="E932" t="s">
        <v>2011</v>
      </c>
      <c r="F932" t="s">
        <v>2016</v>
      </c>
      <c r="G932" t="s">
        <v>2018</v>
      </c>
      <c r="H932" t="s">
        <v>2024</v>
      </c>
      <c r="I932">
        <v>73</v>
      </c>
      <c r="J932" t="s">
        <v>2030</v>
      </c>
      <c r="K932" t="s">
        <v>2035</v>
      </c>
    </row>
    <row r="933" spans="1:11" x14ac:dyDescent="0.3">
      <c r="A933" s="6" t="s">
        <v>942</v>
      </c>
      <c r="B933" t="s">
        <v>1939</v>
      </c>
      <c r="C933" t="s">
        <v>2008</v>
      </c>
      <c r="D933">
        <v>18</v>
      </c>
      <c r="E933" t="s">
        <v>2010</v>
      </c>
      <c r="F933" t="s">
        <v>2016</v>
      </c>
      <c r="G933" t="s">
        <v>2018</v>
      </c>
      <c r="H933" t="s">
        <v>2024</v>
      </c>
      <c r="I933">
        <v>62</v>
      </c>
      <c r="J933" t="s">
        <v>2033</v>
      </c>
      <c r="K933" t="s">
        <v>2035</v>
      </c>
    </row>
    <row r="934" spans="1:11" x14ac:dyDescent="0.3">
      <c r="A934" s="6" t="s">
        <v>943</v>
      </c>
      <c r="B934" t="s">
        <v>1940</v>
      </c>
      <c r="C934" t="s">
        <v>2007</v>
      </c>
      <c r="D934">
        <v>16</v>
      </c>
      <c r="E934" t="s">
        <v>2011</v>
      </c>
      <c r="F934" t="s">
        <v>2016</v>
      </c>
      <c r="G934" t="s">
        <v>2021</v>
      </c>
      <c r="H934" t="s">
        <v>2023</v>
      </c>
      <c r="I934">
        <v>97</v>
      </c>
      <c r="J934" t="s">
        <v>2032</v>
      </c>
      <c r="K934" t="s">
        <v>2035</v>
      </c>
    </row>
    <row r="935" spans="1:11" x14ac:dyDescent="0.3">
      <c r="A935" s="6" t="s">
        <v>944</v>
      </c>
      <c r="B935" t="s">
        <v>1941</v>
      </c>
      <c r="C935" t="s">
        <v>2008</v>
      </c>
      <c r="D935">
        <v>18</v>
      </c>
      <c r="E935" t="s">
        <v>2013</v>
      </c>
      <c r="F935" t="s">
        <v>2016</v>
      </c>
      <c r="G935" t="s">
        <v>2018</v>
      </c>
      <c r="H935" t="s">
        <v>2024</v>
      </c>
      <c r="I935">
        <v>85</v>
      </c>
      <c r="J935" t="s">
        <v>2029</v>
      </c>
      <c r="K935" t="s">
        <v>2035</v>
      </c>
    </row>
    <row r="936" spans="1:11" x14ac:dyDescent="0.3">
      <c r="A936" s="6" t="s">
        <v>945</v>
      </c>
      <c r="B936" t="s">
        <v>1942</v>
      </c>
      <c r="C936" t="s">
        <v>2007</v>
      </c>
      <c r="D936">
        <v>14</v>
      </c>
      <c r="E936" t="s">
        <v>2010</v>
      </c>
      <c r="F936" t="s">
        <v>2014</v>
      </c>
      <c r="G936" t="s">
        <v>2019</v>
      </c>
      <c r="H936" t="s">
        <v>2024</v>
      </c>
      <c r="I936">
        <v>58</v>
      </c>
      <c r="J936" t="s">
        <v>2028</v>
      </c>
      <c r="K936" t="s">
        <v>2035</v>
      </c>
    </row>
    <row r="937" spans="1:11" x14ac:dyDescent="0.3">
      <c r="A937" s="6" t="s">
        <v>946</v>
      </c>
      <c r="B937" t="s">
        <v>1943</v>
      </c>
      <c r="C937" t="s">
        <v>2007</v>
      </c>
      <c r="D937">
        <v>18</v>
      </c>
      <c r="E937" t="s">
        <v>2010</v>
      </c>
      <c r="F937" t="s">
        <v>2014</v>
      </c>
      <c r="G937" t="s">
        <v>2020</v>
      </c>
      <c r="H937" t="s">
        <v>2024</v>
      </c>
      <c r="I937">
        <v>1</v>
      </c>
      <c r="J937" t="s">
        <v>2026</v>
      </c>
      <c r="K937" t="s">
        <v>2036</v>
      </c>
    </row>
    <row r="938" spans="1:11" x14ac:dyDescent="0.3">
      <c r="A938" s="6" t="s">
        <v>947</v>
      </c>
      <c r="B938" t="s">
        <v>1944</v>
      </c>
      <c r="C938" t="s">
        <v>2007</v>
      </c>
      <c r="D938">
        <v>16</v>
      </c>
      <c r="E938" t="s">
        <v>2009</v>
      </c>
      <c r="F938" t="s">
        <v>2017</v>
      </c>
      <c r="G938" t="s">
        <v>2021</v>
      </c>
      <c r="H938" t="s">
        <v>2024</v>
      </c>
      <c r="I938">
        <v>61</v>
      </c>
      <c r="J938" t="s">
        <v>2033</v>
      </c>
      <c r="K938" t="s">
        <v>2035</v>
      </c>
    </row>
    <row r="939" spans="1:11" x14ac:dyDescent="0.3">
      <c r="A939" s="6" t="s">
        <v>948</v>
      </c>
      <c r="B939" t="s">
        <v>1945</v>
      </c>
      <c r="C939" t="s">
        <v>2008</v>
      </c>
      <c r="D939">
        <v>17</v>
      </c>
      <c r="E939" t="s">
        <v>2009</v>
      </c>
      <c r="F939" t="s">
        <v>2017</v>
      </c>
      <c r="G939" t="s">
        <v>2022</v>
      </c>
      <c r="H939" t="s">
        <v>2024</v>
      </c>
      <c r="I939">
        <v>58</v>
      </c>
      <c r="J939" t="s">
        <v>2029</v>
      </c>
      <c r="K939" t="s">
        <v>2035</v>
      </c>
    </row>
    <row r="940" spans="1:11" x14ac:dyDescent="0.3">
      <c r="A940" s="6" t="s">
        <v>949</v>
      </c>
      <c r="B940" t="s">
        <v>1946</v>
      </c>
      <c r="C940" t="s">
        <v>2007</v>
      </c>
      <c r="D940">
        <v>16</v>
      </c>
      <c r="E940" t="s">
        <v>2012</v>
      </c>
      <c r="F940" t="s">
        <v>2017</v>
      </c>
      <c r="G940" t="s">
        <v>2022</v>
      </c>
      <c r="H940" t="s">
        <v>2023</v>
      </c>
      <c r="I940">
        <v>76</v>
      </c>
      <c r="J940" t="s">
        <v>2033</v>
      </c>
      <c r="K940" t="s">
        <v>2035</v>
      </c>
    </row>
    <row r="941" spans="1:11" x14ac:dyDescent="0.3">
      <c r="A941" s="6" t="s">
        <v>950</v>
      </c>
      <c r="B941" t="s">
        <v>1947</v>
      </c>
      <c r="C941" t="s">
        <v>2007</v>
      </c>
      <c r="D941">
        <v>17</v>
      </c>
      <c r="E941" t="s">
        <v>2010</v>
      </c>
      <c r="F941" t="s">
        <v>2017</v>
      </c>
      <c r="G941" t="s">
        <v>2021</v>
      </c>
      <c r="H941" t="s">
        <v>2024</v>
      </c>
      <c r="I941">
        <v>45</v>
      </c>
      <c r="J941" t="s">
        <v>2027</v>
      </c>
      <c r="K941" t="s">
        <v>2036</v>
      </c>
    </row>
    <row r="942" spans="1:11" x14ac:dyDescent="0.3">
      <c r="A942" s="6" t="s">
        <v>951</v>
      </c>
      <c r="B942" t="s">
        <v>1948</v>
      </c>
      <c r="C942" t="s">
        <v>2007</v>
      </c>
      <c r="D942">
        <v>18</v>
      </c>
      <c r="E942" t="s">
        <v>2012</v>
      </c>
      <c r="F942" t="s">
        <v>2017</v>
      </c>
      <c r="G942" t="s">
        <v>2022</v>
      </c>
      <c r="H942" t="s">
        <v>2023</v>
      </c>
      <c r="I942">
        <v>90</v>
      </c>
      <c r="J942" t="s">
        <v>2029</v>
      </c>
      <c r="K942" t="s">
        <v>2035</v>
      </c>
    </row>
    <row r="943" spans="1:11" x14ac:dyDescent="0.3">
      <c r="A943" s="6" t="s">
        <v>952</v>
      </c>
      <c r="B943" t="s">
        <v>1949</v>
      </c>
      <c r="C943" t="s">
        <v>2007</v>
      </c>
      <c r="D943">
        <v>14</v>
      </c>
      <c r="E943" t="s">
        <v>2011</v>
      </c>
      <c r="F943" t="s">
        <v>2016</v>
      </c>
      <c r="G943" t="s">
        <v>2018</v>
      </c>
      <c r="H943" t="s">
        <v>2023</v>
      </c>
      <c r="I943">
        <v>57</v>
      </c>
      <c r="J943" t="s">
        <v>2025</v>
      </c>
      <c r="K943" t="s">
        <v>2035</v>
      </c>
    </row>
    <row r="944" spans="1:11" x14ac:dyDescent="0.3">
      <c r="A944" s="6" t="s">
        <v>953</v>
      </c>
      <c r="B944" t="s">
        <v>1950</v>
      </c>
      <c r="C944" t="s">
        <v>2007</v>
      </c>
      <c r="D944">
        <v>15</v>
      </c>
      <c r="E944" t="s">
        <v>2010</v>
      </c>
      <c r="F944" t="s">
        <v>2017</v>
      </c>
      <c r="G944" t="s">
        <v>2021</v>
      </c>
      <c r="H944" t="s">
        <v>2024</v>
      </c>
      <c r="I944">
        <v>40</v>
      </c>
      <c r="J944" t="s">
        <v>2026</v>
      </c>
      <c r="K944" t="s">
        <v>2036</v>
      </c>
    </row>
    <row r="945" spans="1:11" x14ac:dyDescent="0.3">
      <c r="A945" s="6" t="s">
        <v>954</v>
      </c>
      <c r="B945" t="s">
        <v>1951</v>
      </c>
      <c r="C945" t="s">
        <v>2008</v>
      </c>
      <c r="D945">
        <v>15</v>
      </c>
      <c r="E945" t="s">
        <v>2012</v>
      </c>
      <c r="F945" t="s">
        <v>2015</v>
      </c>
      <c r="G945" t="s">
        <v>2022</v>
      </c>
      <c r="H945" t="s">
        <v>2023</v>
      </c>
      <c r="I945">
        <v>75</v>
      </c>
      <c r="J945" t="s">
        <v>2026</v>
      </c>
      <c r="K945" t="s">
        <v>2035</v>
      </c>
    </row>
    <row r="946" spans="1:11" x14ac:dyDescent="0.3">
      <c r="A946" s="6" t="s">
        <v>955</v>
      </c>
      <c r="B946" t="s">
        <v>1952</v>
      </c>
      <c r="C946" t="s">
        <v>2007</v>
      </c>
      <c r="D946">
        <v>17</v>
      </c>
      <c r="E946" t="s">
        <v>2009</v>
      </c>
      <c r="F946" t="s">
        <v>2017</v>
      </c>
      <c r="G946" t="s">
        <v>2021</v>
      </c>
      <c r="H946" t="s">
        <v>2024</v>
      </c>
      <c r="I946">
        <v>94</v>
      </c>
      <c r="J946" t="s">
        <v>2031</v>
      </c>
      <c r="K946" t="s">
        <v>2035</v>
      </c>
    </row>
    <row r="947" spans="1:11" x14ac:dyDescent="0.3">
      <c r="A947" s="6" t="s">
        <v>956</v>
      </c>
      <c r="B947" t="s">
        <v>1953</v>
      </c>
      <c r="C947" t="s">
        <v>2008</v>
      </c>
      <c r="D947">
        <v>18</v>
      </c>
      <c r="E947" t="s">
        <v>2013</v>
      </c>
      <c r="F947" t="s">
        <v>2014</v>
      </c>
      <c r="G947" t="s">
        <v>2020</v>
      </c>
      <c r="H947" t="s">
        <v>2023</v>
      </c>
      <c r="I947">
        <v>0</v>
      </c>
      <c r="J947" t="s">
        <v>2031</v>
      </c>
      <c r="K947" t="s">
        <v>2036</v>
      </c>
    </row>
    <row r="948" spans="1:11" x14ac:dyDescent="0.3">
      <c r="A948" s="6" t="s">
        <v>957</v>
      </c>
      <c r="B948" t="s">
        <v>1954</v>
      </c>
      <c r="C948" t="s">
        <v>2008</v>
      </c>
      <c r="D948">
        <v>18</v>
      </c>
      <c r="E948" t="s">
        <v>2012</v>
      </c>
      <c r="F948" t="s">
        <v>2016</v>
      </c>
      <c r="G948" t="s">
        <v>2020</v>
      </c>
      <c r="H948" t="s">
        <v>2023</v>
      </c>
      <c r="I948">
        <v>20</v>
      </c>
      <c r="J948" t="s">
        <v>2027</v>
      </c>
      <c r="K948" t="s">
        <v>2036</v>
      </c>
    </row>
    <row r="949" spans="1:11" x14ac:dyDescent="0.3">
      <c r="A949" s="6" t="s">
        <v>958</v>
      </c>
      <c r="B949" t="s">
        <v>1955</v>
      </c>
      <c r="C949" t="s">
        <v>2008</v>
      </c>
      <c r="D949">
        <v>15</v>
      </c>
      <c r="E949" t="s">
        <v>2013</v>
      </c>
      <c r="F949" t="s">
        <v>2015</v>
      </c>
      <c r="G949" t="s">
        <v>2022</v>
      </c>
      <c r="H949" t="s">
        <v>2023</v>
      </c>
      <c r="I949">
        <v>4</v>
      </c>
      <c r="J949" t="s">
        <v>2031</v>
      </c>
      <c r="K949" t="s">
        <v>2036</v>
      </c>
    </row>
    <row r="950" spans="1:11" x14ac:dyDescent="0.3">
      <c r="A950" s="6" t="s">
        <v>959</v>
      </c>
      <c r="B950" t="s">
        <v>1956</v>
      </c>
      <c r="C950" t="s">
        <v>2007</v>
      </c>
      <c r="D950">
        <v>16</v>
      </c>
      <c r="E950" t="s">
        <v>2011</v>
      </c>
      <c r="F950" t="s">
        <v>2017</v>
      </c>
      <c r="G950" t="s">
        <v>2022</v>
      </c>
      <c r="H950" t="s">
        <v>2024</v>
      </c>
      <c r="I950">
        <v>54</v>
      </c>
      <c r="J950" t="s">
        <v>2026</v>
      </c>
      <c r="K950" t="s">
        <v>2035</v>
      </c>
    </row>
    <row r="951" spans="1:11" x14ac:dyDescent="0.3">
      <c r="A951" s="6" t="s">
        <v>960</v>
      </c>
      <c r="B951" t="s">
        <v>1957</v>
      </c>
      <c r="C951" t="s">
        <v>2008</v>
      </c>
      <c r="D951">
        <v>17</v>
      </c>
      <c r="E951" t="s">
        <v>2012</v>
      </c>
      <c r="F951" t="s">
        <v>2016</v>
      </c>
      <c r="G951" t="s">
        <v>2019</v>
      </c>
      <c r="H951" t="s">
        <v>2024</v>
      </c>
      <c r="I951">
        <v>60</v>
      </c>
      <c r="J951" t="s">
        <v>2031</v>
      </c>
      <c r="K951" t="s">
        <v>2035</v>
      </c>
    </row>
    <row r="952" spans="1:11" x14ac:dyDescent="0.3">
      <c r="A952" s="6" t="s">
        <v>961</v>
      </c>
      <c r="B952" t="s">
        <v>1958</v>
      </c>
      <c r="C952" t="s">
        <v>2008</v>
      </c>
      <c r="D952">
        <v>17</v>
      </c>
      <c r="E952" t="s">
        <v>2013</v>
      </c>
      <c r="F952" t="s">
        <v>2017</v>
      </c>
      <c r="G952" t="s">
        <v>2018</v>
      </c>
      <c r="H952" t="s">
        <v>2024</v>
      </c>
      <c r="I952">
        <v>14</v>
      </c>
      <c r="J952" t="s">
        <v>2031</v>
      </c>
      <c r="K952" t="s">
        <v>2036</v>
      </c>
    </row>
    <row r="953" spans="1:11" x14ac:dyDescent="0.3">
      <c r="A953" s="6" t="s">
        <v>962</v>
      </c>
      <c r="B953" t="s">
        <v>1959</v>
      </c>
      <c r="C953" t="s">
        <v>2008</v>
      </c>
      <c r="D953">
        <v>14</v>
      </c>
      <c r="E953" t="s">
        <v>2009</v>
      </c>
      <c r="F953" t="s">
        <v>2017</v>
      </c>
      <c r="G953" t="s">
        <v>2021</v>
      </c>
      <c r="H953" t="s">
        <v>2023</v>
      </c>
      <c r="I953">
        <v>47</v>
      </c>
      <c r="J953" t="s">
        <v>2029</v>
      </c>
      <c r="K953" t="s">
        <v>2036</v>
      </c>
    </row>
    <row r="954" spans="1:11" x14ac:dyDescent="0.3">
      <c r="A954" s="6" t="s">
        <v>963</v>
      </c>
      <c r="B954" t="s">
        <v>1960</v>
      </c>
      <c r="C954" t="s">
        <v>2007</v>
      </c>
      <c r="D954">
        <v>16</v>
      </c>
      <c r="E954" t="s">
        <v>2012</v>
      </c>
      <c r="F954" t="s">
        <v>2014</v>
      </c>
      <c r="G954" t="s">
        <v>2021</v>
      </c>
      <c r="H954" t="s">
        <v>2023</v>
      </c>
      <c r="I954">
        <v>52</v>
      </c>
      <c r="J954" t="s">
        <v>2030</v>
      </c>
      <c r="K954" t="s">
        <v>2035</v>
      </c>
    </row>
    <row r="955" spans="1:11" x14ac:dyDescent="0.3">
      <c r="A955" s="6" t="s">
        <v>964</v>
      </c>
      <c r="B955" t="s">
        <v>1961</v>
      </c>
      <c r="C955" t="s">
        <v>2007</v>
      </c>
      <c r="D955">
        <v>18</v>
      </c>
      <c r="E955" t="s">
        <v>2012</v>
      </c>
      <c r="F955" t="s">
        <v>2014</v>
      </c>
      <c r="G955" t="s">
        <v>2020</v>
      </c>
      <c r="H955" t="s">
        <v>2024</v>
      </c>
      <c r="I955">
        <v>83</v>
      </c>
      <c r="J955" t="s">
        <v>2030</v>
      </c>
      <c r="K955" t="s">
        <v>2035</v>
      </c>
    </row>
    <row r="956" spans="1:11" x14ac:dyDescent="0.3">
      <c r="A956" s="6" t="s">
        <v>965</v>
      </c>
      <c r="B956" t="s">
        <v>1962</v>
      </c>
      <c r="C956" t="s">
        <v>2007</v>
      </c>
      <c r="D956">
        <v>17</v>
      </c>
      <c r="E956" t="s">
        <v>2011</v>
      </c>
      <c r="F956" t="s">
        <v>2016</v>
      </c>
      <c r="G956" t="s">
        <v>2020</v>
      </c>
      <c r="H956" t="s">
        <v>2024</v>
      </c>
      <c r="I956">
        <v>100</v>
      </c>
      <c r="J956" t="s">
        <v>2031</v>
      </c>
      <c r="K956" t="s">
        <v>2035</v>
      </c>
    </row>
    <row r="957" spans="1:11" x14ac:dyDescent="0.3">
      <c r="A957" s="6" t="s">
        <v>966</v>
      </c>
      <c r="B957" t="s">
        <v>1963</v>
      </c>
      <c r="C957" t="s">
        <v>2007</v>
      </c>
      <c r="D957">
        <v>18</v>
      </c>
      <c r="E957" t="s">
        <v>2012</v>
      </c>
      <c r="F957" t="s">
        <v>2016</v>
      </c>
      <c r="G957" t="s">
        <v>2022</v>
      </c>
      <c r="H957" t="s">
        <v>2023</v>
      </c>
      <c r="I957">
        <v>8</v>
      </c>
      <c r="J957" t="s">
        <v>2027</v>
      </c>
      <c r="K957" t="s">
        <v>2036</v>
      </c>
    </row>
    <row r="958" spans="1:11" x14ac:dyDescent="0.3">
      <c r="A958" s="6" t="s">
        <v>967</v>
      </c>
      <c r="B958" t="s">
        <v>1964</v>
      </c>
      <c r="C958" t="s">
        <v>2008</v>
      </c>
      <c r="D958">
        <v>15</v>
      </c>
      <c r="E958" t="s">
        <v>2013</v>
      </c>
      <c r="F958" t="s">
        <v>2015</v>
      </c>
      <c r="G958" t="s">
        <v>2022</v>
      </c>
      <c r="H958" t="s">
        <v>2023</v>
      </c>
      <c r="I958">
        <v>48</v>
      </c>
      <c r="J958" t="s">
        <v>2029</v>
      </c>
      <c r="K958" t="s">
        <v>2036</v>
      </c>
    </row>
    <row r="959" spans="1:11" x14ac:dyDescent="0.3">
      <c r="A959" s="6" t="s">
        <v>968</v>
      </c>
      <c r="B959" t="s">
        <v>1965</v>
      </c>
      <c r="C959" t="s">
        <v>2008</v>
      </c>
      <c r="D959">
        <v>14</v>
      </c>
      <c r="E959" t="s">
        <v>2009</v>
      </c>
      <c r="F959" t="s">
        <v>2015</v>
      </c>
      <c r="G959" t="s">
        <v>2018</v>
      </c>
      <c r="H959" t="s">
        <v>2023</v>
      </c>
      <c r="I959">
        <v>85</v>
      </c>
      <c r="J959" t="s">
        <v>2034</v>
      </c>
      <c r="K959" t="s">
        <v>2035</v>
      </c>
    </row>
    <row r="960" spans="1:11" x14ac:dyDescent="0.3">
      <c r="A960" s="6" t="s">
        <v>969</v>
      </c>
      <c r="B960" t="s">
        <v>1966</v>
      </c>
      <c r="C960" t="s">
        <v>2007</v>
      </c>
      <c r="D960">
        <v>16</v>
      </c>
      <c r="E960" t="s">
        <v>2011</v>
      </c>
      <c r="F960" t="s">
        <v>2017</v>
      </c>
      <c r="G960" t="s">
        <v>2022</v>
      </c>
      <c r="H960" t="s">
        <v>2024</v>
      </c>
      <c r="I960">
        <v>92</v>
      </c>
      <c r="J960" t="s">
        <v>2027</v>
      </c>
      <c r="K960" t="s">
        <v>2035</v>
      </c>
    </row>
    <row r="961" spans="1:11" x14ac:dyDescent="0.3">
      <c r="A961" s="6" t="s">
        <v>970</v>
      </c>
      <c r="B961" t="s">
        <v>1967</v>
      </c>
      <c r="C961" t="s">
        <v>2007</v>
      </c>
      <c r="D961">
        <v>17</v>
      </c>
      <c r="E961" t="s">
        <v>2011</v>
      </c>
      <c r="F961" t="s">
        <v>2014</v>
      </c>
      <c r="G961" t="s">
        <v>2019</v>
      </c>
      <c r="H961" t="s">
        <v>2023</v>
      </c>
      <c r="I961">
        <v>87</v>
      </c>
      <c r="J961" t="s">
        <v>2027</v>
      </c>
      <c r="K961" t="s">
        <v>2035</v>
      </c>
    </row>
    <row r="962" spans="1:11" x14ac:dyDescent="0.3">
      <c r="A962" s="6" t="s">
        <v>971</v>
      </c>
      <c r="B962" t="s">
        <v>1488</v>
      </c>
      <c r="C962" t="s">
        <v>2007</v>
      </c>
      <c r="D962">
        <v>14</v>
      </c>
      <c r="E962" t="s">
        <v>2012</v>
      </c>
      <c r="F962" t="s">
        <v>2015</v>
      </c>
      <c r="G962" t="s">
        <v>2021</v>
      </c>
      <c r="H962" t="s">
        <v>2023</v>
      </c>
      <c r="I962">
        <v>51</v>
      </c>
      <c r="J962" t="s">
        <v>2032</v>
      </c>
      <c r="K962" t="s">
        <v>2035</v>
      </c>
    </row>
    <row r="963" spans="1:11" x14ac:dyDescent="0.3">
      <c r="A963" s="6" t="s">
        <v>972</v>
      </c>
      <c r="B963" t="s">
        <v>1968</v>
      </c>
      <c r="C963" t="s">
        <v>2007</v>
      </c>
      <c r="D963">
        <v>18</v>
      </c>
      <c r="E963" t="s">
        <v>2010</v>
      </c>
      <c r="F963" t="s">
        <v>2015</v>
      </c>
      <c r="G963" t="s">
        <v>2022</v>
      </c>
      <c r="H963" t="s">
        <v>2023</v>
      </c>
      <c r="I963">
        <v>57</v>
      </c>
      <c r="J963" t="s">
        <v>2026</v>
      </c>
      <c r="K963" t="s">
        <v>2035</v>
      </c>
    </row>
    <row r="964" spans="1:11" x14ac:dyDescent="0.3">
      <c r="A964" s="6" t="s">
        <v>973</v>
      </c>
      <c r="B964" t="s">
        <v>1969</v>
      </c>
      <c r="C964" t="s">
        <v>2008</v>
      </c>
      <c r="D964">
        <v>18</v>
      </c>
      <c r="E964" t="s">
        <v>2011</v>
      </c>
      <c r="F964" t="s">
        <v>2015</v>
      </c>
      <c r="G964" t="s">
        <v>2019</v>
      </c>
      <c r="H964" t="s">
        <v>2023</v>
      </c>
      <c r="I964">
        <v>63</v>
      </c>
      <c r="J964" t="s">
        <v>2034</v>
      </c>
      <c r="K964" t="s">
        <v>2035</v>
      </c>
    </row>
    <row r="965" spans="1:11" x14ac:dyDescent="0.3">
      <c r="A965" s="6" t="s">
        <v>974</v>
      </c>
      <c r="B965" t="s">
        <v>1970</v>
      </c>
      <c r="C965" t="s">
        <v>2007</v>
      </c>
      <c r="D965">
        <v>16</v>
      </c>
      <c r="E965" t="s">
        <v>2010</v>
      </c>
      <c r="F965" t="s">
        <v>2015</v>
      </c>
      <c r="G965" t="s">
        <v>2018</v>
      </c>
      <c r="H965" t="s">
        <v>2024</v>
      </c>
      <c r="I965">
        <v>22</v>
      </c>
      <c r="J965" t="s">
        <v>2030</v>
      </c>
      <c r="K965" t="s">
        <v>2036</v>
      </c>
    </row>
    <row r="966" spans="1:11" x14ac:dyDescent="0.3">
      <c r="A966" s="6" t="s">
        <v>975</v>
      </c>
      <c r="B966" t="s">
        <v>1971</v>
      </c>
      <c r="C966" t="s">
        <v>2007</v>
      </c>
      <c r="D966">
        <v>16</v>
      </c>
      <c r="E966" t="s">
        <v>2009</v>
      </c>
      <c r="F966" t="s">
        <v>2014</v>
      </c>
      <c r="G966" t="s">
        <v>2020</v>
      </c>
      <c r="H966" t="s">
        <v>2024</v>
      </c>
      <c r="I966">
        <v>24</v>
      </c>
      <c r="J966" t="s">
        <v>2031</v>
      </c>
      <c r="K966" t="s">
        <v>2036</v>
      </c>
    </row>
    <row r="967" spans="1:11" x14ac:dyDescent="0.3">
      <c r="A967" s="6" t="s">
        <v>976</v>
      </c>
      <c r="B967" t="s">
        <v>1972</v>
      </c>
      <c r="C967" t="s">
        <v>2008</v>
      </c>
      <c r="D967">
        <v>16</v>
      </c>
      <c r="E967" t="s">
        <v>2009</v>
      </c>
      <c r="F967" t="s">
        <v>2017</v>
      </c>
      <c r="G967" t="s">
        <v>2019</v>
      </c>
      <c r="H967" t="s">
        <v>2023</v>
      </c>
      <c r="I967">
        <v>10</v>
      </c>
      <c r="J967" t="s">
        <v>2033</v>
      </c>
      <c r="K967" t="s">
        <v>2036</v>
      </c>
    </row>
    <row r="968" spans="1:11" x14ac:dyDescent="0.3">
      <c r="A968" s="6" t="s">
        <v>977</v>
      </c>
      <c r="B968" t="s">
        <v>1973</v>
      </c>
      <c r="C968" t="s">
        <v>2008</v>
      </c>
      <c r="D968">
        <v>17</v>
      </c>
      <c r="E968" t="s">
        <v>2013</v>
      </c>
      <c r="F968" t="s">
        <v>2014</v>
      </c>
      <c r="G968" t="s">
        <v>2019</v>
      </c>
      <c r="H968" t="s">
        <v>2023</v>
      </c>
      <c r="I968">
        <v>95</v>
      </c>
      <c r="J968" t="s">
        <v>2030</v>
      </c>
      <c r="K968" t="s">
        <v>2035</v>
      </c>
    </row>
    <row r="969" spans="1:11" x14ac:dyDescent="0.3">
      <c r="A969" s="6" t="s">
        <v>978</v>
      </c>
      <c r="B969" t="s">
        <v>1974</v>
      </c>
      <c r="C969" t="s">
        <v>2008</v>
      </c>
      <c r="D969">
        <v>14</v>
      </c>
      <c r="E969" t="s">
        <v>2013</v>
      </c>
      <c r="F969" t="s">
        <v>2014</v>
      </c>
      <c r="G969" t="s">
        <v>2022</v>
      </c>
      <c r="H969" t="s">
        <v>2024</v>
      </c>
      <c r="I969">
        <v>16</v>
      </c>
      <c r="J969" t="s">
        <v>2033</v>
      </c>
      <c r="K969" t="s">
        <v>2036</v>
      </c>
    </row>
    <row r="970" spans="1:11" x14ac:dyDescent="0.3">
      <c r="A970" s="6" t="s">
        <v>979</v>
      </c>
      <c r="B970" t="s">
        <v>1975</v>
      </c>
      <c r="C970" t="s">
        <v>2007</v>
      </c>
      <c r="D970">
        <v>17</v>
      </c>
      <c r="E970" t="s">
        <v>2009</v>
      </c>
      <c r="F970" t="s">
        <v>2016</v>
      </c>
      <c r="G970" t="s">
        <v>2018</v>
      </c>
      <c r="H970" t="s">
        <v>2024</v>
      </c>
      <c r="I970">
        <v>32</v>
      </c>
      <c r="J970" t="s">
        <v>2027</v>
      </c>
      <c r="K970" t="s">
        <v>2036</v>
      </c>
    </row>
    <row r="971" spans="1:11" x14ac:dyDescent="0.3">
      <c r="A971" s="6" t="s">
        <v>980</v>
      </c>
      <c r="B971" t="s">
        <v>1976</v>
      </c>
      <c r="C971" t="s">
        <v>2007</v>
      </c>
      <c r="D971">
        <v>17</v>
      </c>
      <c r="E971" t="s">
        <v>2011</v>
      </c>
      <c r="F971" t="s">
        <v>2017</v>
      </c>
      <c r="G971" t="s">
        <v>2020</v>
      </c>
      <c r="H971" t="s">
        <v>2024</v>
      </c>
      <c r="I971">
        <v>55</v>
      </c>
      <c r="J971" t="s">
        <v>2026</v>
      </c>
      <c r="K971" t="s">
        <v>2035</v>
      </c>
    </row>
    <row r="972" spans="1:11" x14ac:dyDescent="0.3">
      <c r="A972" s="6" t="s">
        <v>981</v>
      </c>
      <c r="B972" t="s">
        <v>1977</v>
      </c>
      <c r="C972" t="s">
        <v>2007</v>
      </c>
      <c r="D972">
        <v>18</v>
      </c>
      <c r="E972" t="s">
        <v>2010</v>
      </c>
      <c r="F972" t="s">
        <v>2014</v>
      </c>
      <c r="G972" t="s">
        <v>2021</v>
      </c>
      <c r="H972" t="s">
        <v>2024</v>
      </c>
      <c r="I972">
        <v>35</v>
      </c>
      <c r="J972" t="s">
        <v>2025</v>
      </c>
      <c r="K972" t="s">
        <v>2036</v>
      </c>
    </row>
    <row r="973" spans="1:11" x14ac:dyDescent="0.3">
      <c r="A973" s="6" t="s">
        <v>982</v>
      </c>
      <c r="B973" t="s">
        <v>1978</v>
      </c>
      <c r="C973" t="s">
        <v>2008</v>
      </c>
      <c r="D973">
        <v>18</v>
      </c>
      <c r="E973" t="s">
        <v>2010</v>
      </c>
      <c r="F973" t="s">
        <v>2017</v>
      </c>
      <c r="G973" t="s">
        <v>2019</v>
      </c>
      <c r="H973" t="s">
        <v>2023</v>
      </c>
      <c r="I973">
        <v>53</v>
      </c>
      <c r="J973" t="s">
        <v>2026</v>
      </c>
      <c r="K973" t="s">
        <v>2035</v>
      </c>
    </row>
    <row r="974" spans="1:11" x14ac:dyDescent="0.3">
      <c r="A974" s="6" t="s">
        <v>983</v>
      </c>
      <c r="B974" t="s">
        <v>1979</v>
      </c>
      <c r="C974" t="s">
        <v>2007</v>
      </c>
      <c r="D974">
        <v>16</v>
      </c>
      <c r="E974" t="s">
        <v>2012</v>
      </c>
      <c r="F974" t="s">
        <v>2017</v>
      </c>
      <c r="G974" t="s">
        <v>2019</v>
      </c>
      <c r="H974" t="s">
        <v>2024</v>
      </c>
      <c r="I974">
        <v>17</v>
      </c>
      <c r="J974" t="s">
        <v>2034</v>
      </c>
      <c r="K974" t="s">
        <v>2036</v>
      </c>
    </row>
    <row r="975" spans="1:11" x14ac:dyDescent="0.3">
      <c r="A975" s="6" t="s">
        <v>984</v>
      </c>
      <c r="B975" t="s">
        <v>1980</v>
      </c>
      <c r="C975" t="s">
        <v>2008</v>
      </c>
      <c r="D975">
        <v>17</v>
      </c>
      <c r="E975" t="s">
        <v>2012</v>
      </c>
      <c r="F975" t="s">
        <v>2015</v>
      </c>
      <c r="G975" t="s">
        <v>2020</v>
      </c>
      <c r="H975" t="s">
        <v>2024</v>
      </c>
      <c r="I975">
        <v>84</v>
      </c>
      <c r="J975" t="s">
        <v>2033</v>
      </c>
      <c r="K975" t="s">
        <v>2035</v>
      </c>
    </row>
    <row r="976" spans="1:11" x14ac:dyDescent="0.3">
      <c r="A976" s="6" t="s">
        <v>985</v>
      </c>
      <c r="B976" t="s">
        <v>1981</v>
      </c>
      <c r="C976" t="s">
        <v>2008</v>
      </c>
      <c r="D976">
        <v>17</v>
      </c>
      <c r="E976" t="s">
        <v>2010</v>
      </c>
      <c r="F976" t="s">
        <v>2014</v>
      </c>
      <c r="G976" t="s">
        <v>2018</v>
      </c>
      <c r="H976" t="s">
        <v>2023</v>
      </c>
      <c r="I976">
        <v>77</v>
      </c>
      <c r="J976" t="s">
        <v>2033</v>
      </c>
      <c r="K976" t="s">
        <v>2035</v>
      </c>
    </row>
    <row r="977" spans="1:11" x14ac:dyDescent="0.3">
      <c r="A977" s="6" t="s">
        <v>986</v>
      </c>
      <c r="B977" t="s">
        <v>1982</v>
      </c>
      <c r="C977" t="s">
        <v>2008</v>
      </c>
      <c r="D977">
        <v>14</v>
      </c>
      <c r="E977" t="s">
        <v>2009</v>
      </c>
      <c r="F977" t="s">
        <v>2016</v>
      </c>
      <c r="G977" t="s">
        <v>2020</v>
      </c>
      <c r="H977" t="s">
        <v>2023</v>
      </c>
      <c r="I977">
        <v>13</v>
      </c>
      <c r="J977" t="s">
        <v>2026</v>
      </c>
      <c r="K977" t="s">
        <v>2036</v>
      </c>
    </row>
    <row r="978" spans="1:11" x14ac:dyDescent="0.3">
      <c r="A978" s="6" t="s">
        <v>987</v>
      </c>
      <c r="B978" t="s">
        <v>1983</v>
      </c>
      <c r="C978" t="s">
        <v>2007</v>
      </c>
      <c r="D978">
        <v>14</v>
      </c>
      <c r="E978" t="s">
        <v>2011</v>
      </c>
      <c r="F978" t="s">
        <v>2016</v>
      </c>
      <c r="G978" t="s">
        <v>2021</v>
      </c>
      <c r="H978" t="s">
        <v>2024</v>
      </c>
      <c r="I978">
        <v>41</v>
      </c>
      <c r="J978" t="s">
        <v>2033</v>
      </c>
      <c r="K978" t="s">
        <v>2036</v>
      </c>
    </row>
    <row r="979" spans="1:11" x14ac:dyDescent="0.3">
      <c r="A979" s="6" t="s">
        <v>988</v>
      </c>
      <c r="B979" t="s">
        <v>1984</v>
      </c>
      <c r="C979" t="s">
        <v>2008</v>
      </c>
      <c r="D979">
        <v>18</v>
      </c>
      <c r="E979" t="s">
        <v>2009</v>
      </c>
      <c r="F979" t="s">
        <v>2017</v>
      </c>
      <c r="G979" t="s">
        <v>2020</v>
      </c>
      <c r="H979" t="s">
        <v>2024</v>
      </c>
      <c r="I979">
        <v>59</v>
      </c>
      <c r="J979" t="s">
        <v>2033</v>
      </c>
      <c r="K979" t="s">
        <v>2035</v>
      </c>
    </row>
    <row r="980" spans="1:11" x14ac:dyDescent="0.3">
      <c r="A980" s="6" t="s">
        <v>989</v>
      </c>
      <c r="B980" t="s">
        <v>1985</v>
      </c>
      <c r="C980" t="s">
        <v>2007</v>
      </c>
      <c r="D980">
        <v>14</v>
      </c>
      <c r="E980" t="s">
        <v>2011</v>
      </c>
      <c r="F980" t="s">
        <v>2017</v>
      </c>
      <c r="G980" t="s">
        <v>2018</v>
      </c>
      <c r="H980" t="s">
        <v>2024</v>
      </c>
      <c r="I980">
        <v>22</v>
      </c>
      <c r="J980" t="s">
        <v>2029</v>
      </c>
      <c r="K980" t="s">
        <v>2036</v>
      </c>
    </row>
    <row r="981" spans="1:11" x14ac:dyDescent="0.3">
      <c r="A981" s="6" t="s">
        <v>990</v>
      </c>
      <c r="B981" t="s">
        <v>1986</v>
      </c>
      <c r="C981" t="s">
        <v>2008</v>
      </c>
      <c r="D981">
        <v>18</v>
      </c>
      <c r="E981" t="s">
        <v>2010</v>
      </c>
      <c r="F981" t="s">
        <v>2015</v>
      </c>
      <c r="G981" t="s">
        <v>2018</v>
      </c>
      <c r="H981" t="s">
        <v>2023</v>
      </c>
      <c r="I981">
        <v>81</v>
      </c>
      <c r="J981" t="s">
        <v>2033</v>
      </c>
      <c r="K981" t="s">
        <v>2035</v>
      </c>
    </row>
    <row r="982" spans="1:11" x14ac:dyDescent="0.3">
      <c r="A982" s="6" t="s">
        <v>991</v>
      </c>
      <c r="B982" t="s">
        <v>1987</v>
      </c>
      <c r="C982" t="s">
        <v>2007</v>
      </c>
      <c r="D982">
        <v>17</v>
      </c>
      <c r="E982" t="s">
        <v>2011</v>
      </c>
      <c r="F982" t="s">
        <v>2017</v>
      </c>
      <c r="G982" t="s">
        <v>2022</v>
      </c>
      <c r="H982" t="s">
        <v>2024</v>
      </c>
      <c r="I982">
        <v>25</v>
      </c>
      <c r="J982" t="s">
        <v>2029</v>
      </c>
      <c r="K982" t="s">
        <v>2036</v>
      </c>
    </row>
    <row r="983" spans="1:11" x14ac:dyDescent="0.3">
      <c r="A983" s="6" t="s">
        <v>992</v>
      </c>
      <c r="B983" t="s">
        <v>1988</v>
      </c>
      <c r="C983" t="s">
        <v>2008</v>
      </c>
      <c r="D983">
        <v>18</v>
      </c>
      <c r="E983" t="s">
        <v>2013</v>
      </c>
      <c r="F983" t="s">
        <v>2015</v>
      </c>
      <c r="G983" t="s">
        <v>2019</v>
      </c>
      <c r="H983" t="s">
        <v>2024</v>
      </c>
      <c r="I983">
        <v>6</v>
      </c>
      <c r="J983" t="s">
        <v>2025</v>
      </c>
      <c r="K983" t="s">
        <v>2036</v>
      </c>
    </row>
    <row r="984" spans="1:11" x14ac:dyDescent="0.3">
      <c r="A984" s="6" t="s">
        <v>993</v>
      </c>
      <c r="B984" t="s">
        <v>1989</v>
      </c>
      <c r="C984" t="s">
        <v>2008</v>
      </c>
      <c r="D984">
        <v>16</v>
      </c>
      <c r="E984" t="s">
        <v>2011</v>
      </c>
      <c r="F984" t="s">
        <v>2017</v>
      </c>
      <c r="G984" t="s">
        <v>2021</v>
      </c>
      <c r="H984" t="s">
        <v>2023</v>
      </c>
      <c r="I984">
        <v>94</v>
      </c>
      <c r="J984" t="s">
        <v>2029</v>
      </c>
      <c r="K984" t="s">
        <v>2035</v>
      </c>
    </row>
    <row r="985" spans="1:11" x14ac:dyDescent="0.3">
      <c r="A985" s="6" t="s">
        <v>994</v>
      </c>
      <c r="B985" t="s">
        <v>1990</v>
      </c>
      <c r="C985" t="s">
        <v>2007</v>
      </c>
      <c r="D985">
        <v>18</v>
      </c>
      <c r="E985" t="s">
        <v>2013</v>
      </c>
      <c r="F985" t="s">
        <v>2014</v>
      </c>
      <c r="G985" t="s">
        <v>2019</v>
      </c>
      <c r="H985" t="s">
        <v>2023</v>
      </c>
      <c r="I985">
        <v>62</v>
      </c>
      <c r="J985" t="s">
        <v>2027</v>
      </c>
      <c r="K985" t="s">
        <v>2035</v>
      </c>
    </row>
    <row r="986" spans="1:11" x14ac:dyDescent="0.3">
      <c r="A986" s="6" t="s">
        <v>995</v>
      </c>
      <c r="B986" t="s">
        <v>1991</v>
      </c>
      <c r="C986" t="s">
        <v>2008</v>
      </c>
      <c r="D986">
        <v>15</v>
      </c>
      <c r="E986" t="s">
        <v>2011</v>
      </c>
      <c r="F986" t="s">
        <v>2016</v>
      </c>
      <c r="G986" t="s">
        <v>2021</v>
      </c>
      <c r="H986" t="s">
        <v>2023</v>
      </c>
      <c r="I986">
        <v>54</v>
      </c>
      <c r="J986" t="s">
        <v>2025</v>
      </c>
      <c r="K986" t="s">
        <v>2035</v>
      </c>
    </row>
    <row r="987" spans="1:11" x14ac:dyDescent="0.3">
      <c r="A987" s="6" t="s">
        <v>996</v>
      </c>
      <c r="B987" t="s">
        <v>1992</v>
      </c>
      <c r="C987" t="s">
        <v>2008</v>
      </c>
      <c r="D987">
        <v>17</v>
      </c>
      <c r="E987" t="s">
        <v>2010</v>
      </c>
      <c r="F987" t="s">
        <v>2014</v>
      </c>
      <c r="G987" t="s">
        <v>2021</v>
      </c>
      <c r="H987" t="s">
        <v>2023</v>
      </c>
      <c r="I987">
        <v>36</v>
      </c>
      <c r="J987" t="s">
        <v>2032</v>
      </c>
      <c r="K987" t="s">
        <v>2036</v>
      </c>
    </row>
    <row r="988" spans="1:11" x14ac:dyDescent="0.3">
      <c r="A988" s="6" t="s">
        <v>997</v>
      </c>
      <c r="B988" t="s">
        <v>1993</v>
      </c>
      <c r="C988" t="s">
        <v>2007</v>
      </c>
      <c r="D988">
        <v>15</v>
      </c>
      <c r="E988" t="s">
        <v>2013</v>
      </c>
      <c r="F988" t="s">
        <v>2017</v>
      </c>
      <c r="G988" t="s">
        <v>2019</v>
      </c>
      <c r="H988" t="s">
        <v>2024</v>
      </c>
      <c r="I988">
        <v>45</v>
      </c>
      <c r="J988" t="s">
        <v>2033</v>
      </c>
      <c r="K988" t="s">
        <v>2036</v>
      </c>
    </row>
    <row r="989" spans="1:11" x14ac:dyDescent="0.3">
      <c r="A989" s="6" t="s">
        <v>998</v>
      </c>
      <c r="B989" t="s">
        <v>1994</v>
      </c>
      <c r="C989" t="s">
        <v>2008</v>
      </c>
      <c r="D989">
        <v>15</v>
      </c>
      <c r="E989" t="s">
        <v>2013</v>
      </c>
      <c r="F989" t="s">
        <v>2017</v>
      </c>
      <c r="G989" t="s">
        <v>2018</v>
      </c>
      <c r="H989" t="s">
        <v>2023</v>
      </c>
      <c r="I989">
        <v>73</v>
      </c>
      <c r="J989" t="s">
        <v>2034</v>
      </c>
      <c r="K989" t="s">
        <v>2035</v>
      </c>
    </row>
    <row r="990" spans="1:11" x14ac:dyDescent="0.3">
      <c r="A990" s="6" t="s">
        <v>999</v>
      </c>
      <c r="B990" t="s">
        <v>1995</v>
      </c>
      <c r="C990" t="s">
        <v>2008</v>
      </c>
      <c r="D990">
        <v>18</v>
      </c>
      <c r="E990" t="s">
        <v>2013</v>
      </c>
      <c r="F990" t="s">
        <v>2016</v>
      </c>
      <c r="G990" t="s">
        <v>2019</v>
      </c>
      <c r="H990" t="s">
        <v>2023</v>
      </c>
      <c r="I990">
        <v>75</v>
      </c>
      <c r="J990" t="s">
        <v>2026</v>
      </c>
      <c r="K990" t="s">
        <v>2035</v>
      </c>
    </row>
    <row r="991" spans="1:11" x14ac:dyDescent="0.3">
      <c r="A991" s="6" t="s">
        <v>1000</v>
      </c>
      <c r="B991" t="s">
        <v>1996</v>
      </c>
      <c r="C991" t="s">
        <v>2008</v>
      </c>
      <c r="D991">
        <v>14</v>
      </c>
      <c r="E991" t="s">
        <v>2012</v>
      </c>
      <c r="F991" t="s">
        <v>2016</v>
      </c>
      <c r="G991" t="s">
        <v>2020</v>
      </c>
      <c r="H991" t="s">
        <v>2023</v>
      </c>
      <c r="I991">
        <v>31</v>
      </c>
      <c r="J991" t="s">
        <v>2029</v>
      </c>
      <c r="K991" t="s">
        <v>2036</v>
      </c>
    </row>
    <row r="992" spans="1:11" x14ac:dyDescent="0.3">
      <c r="A992" s="6" t="s">
        <v>1001</v>
      </c>
      <c r="B992" t="s">
        <v>1997</v>
      </c>
      <c r="C992" t="s">
        <v>2007</v>
      </c>
      <c r="D992">
        <v>16</v>
      </c>
      <c r="E992" t="s">
        <v>2012</v>
      </c>
      <c r="F992" t="s">
        <v>2016</v>
      </c>
      <c r="G992" t="s">
        <v>2020</v>
      </c>
      <c r="H992" t="s">
        <v>2023</v>
      </c>
      <c r="I992">
        <v>19</v>
      </c>
      <c r="J992" t="s">
        <v>2030</v>
      </c>
      <c r="K992" t="s">
        <v>2036</v>
      </c>
    </row>
    <row r="993" spans="1:11" x14ac:dyDescent="0.3">
      <c r="A993" s="6" t="s">
        <v>1002</v>
      </c>
      <c r="B993" t="s">
        <v>1998</v>
      </c>
      <c r="C993" t="s">
        <v>2007</v>
      </c>
      <c r="D993">
        <v>17</v>
      </c>
      <c r="E993" t="s">
        <v>2010</v>
      </c>
      <c r="F993" t="s">
        <v>2015</v>
      </c>
      <c r="G993" t="s">
        <v>2019</v>
      </c>
      <c r="H993" t="s">
        <v>2024</v>
      </c>
      <c r="I993">
        <v>48</v>
      </c>
      <c r="J993" t="s">
        <v>2026</v>
      </c>
      <c r="K993" t="s">
        <v>2036</v>
      </c>
    </row>
    <row r="994" spans="1:11" x14ac:dyDescent="0.3">
      <c r="A994" s="6" t="s">
        <v>1003</v>
      </c>
      <c r="B994" t="s">
        <v>1999</v>
      </c>
      <c r="C994" t="s">
        <v>2007</v>
      </c>
      <c r="D994">
        <v>14</v>
      </c>
      <c r="E994" t="s">
        <v>2010</v>
      </c>
      <c r="F994" t="s">
        <v>2017</v>
      </c>
      <c r="G994" t="s">
        <v>2019</v>
      </c>
      <c r="H994" t="s">
        <v>2023</v>
      </c>
      <c r="I994">
        <v>45</v>
      </c>
      <c r="J994" t="s">
        <v>2026</v>
      </c>
      <c r="K994" t="s">
        <v>2036</v>
      </c>
    </row>
    <row r="995" spans="1:11" x14ac:dyDescent="0.3">
      <c r="A995" s="6" t="s">
        <v>1004</v>
      </c>
      <c r="B995" t="s">
        <v>2000</v>
      </c>
      <c r="C995" t="s">
        <v>2007</v>
      </c>
      <c r="D995">
        <v>16</v>
      </c>
      <c r="E995" t="s">
        <v>2010</v>
      </c>
      <c r="F995" t="s">
        <v>2015</v>
      </c>
      <c r="G995" t="s">
        <v>2020</v>
      </c>
      <c r="H995" t="s">
        <v>2023</v>
      </c>
      <c r="I995">
        <v>61</v>
      </c>
      <c r="J995" t="s">
        <v>2034</v>
      </c>
      <c r="K995" t="s">
        <v>2035</v>
      </c>
    </row>
    <row r="996" spans="1:11" x14ac:dyDescent="0.3">
      <c r="A996" s="6" t="s">
        <v>1005</v>
      </c>
      <c r="B996" t="s">
        <v>2001</v>
      </c>
      <c r="C996" t="s">
        <v>2007</v>
      </c>
      <c r="D996">
        <v>15</v>
      </c>
      <c r="E996" t="s">
        <v>2012</v>
      </c>
      <c r="F996" t="s">
        <v>2016</v>
      </c>
      <c r="G996" t="s">
        <v>2018</v>
      </c>
      <c r="H996" t="s">
        <v>2024</v>
      </c>
      <c r="I996">
        <v>41</v>
      </c>
      <c r="J996" t="s">
        <v>2026</v>
      </c>
      <c r="K996" t="s">
        <v>2036</v>
      </c>
    </row>
    <row r="997" spans="1:11" x14ac:dyDescent="0.3">
      <c r="A997" s="6" t="s">
        <v>1006</v>
      </c>
      <c r="B997" t="s">
        <v>2002</v>
      </c>
      <c r="C997" t="s">
        <v>2007</v>
      </c>
      <c r="D997">
        <v>17</v>
      </c>
      <c r="E997" t="s">
        <v>2012</v>
      </c>
      <c r="F997" t="s">
        <v>2017</v>
      </c>
      <c r="G997" t="s">
        <v>2022</v>
      </c>
      <c r="H997" t="s">
        <v>2024</v>
      </c>
      <c r="I997">
        <v>14</v>
      </c>
      <c r="J997" t="s">
        <v>2031</v>
      </c>
      <c r="K997" t="s">
        <v>2036</v>
      </c>
    </row>
    <row r="998" spans="1:11" x14ac:dyDescent="0.3">
      <c r="A998" s="6" t="s">
        <v>1007</v>
      </c>
      <c r="B998" t="s">
        <v>2003</v>
      </c>
      <c r="C998" t="s">
        <v>2007</v>
      </c>
      <c r="D998">
        <v>16</v>
      </c>
      <c r="E998" t="s">
        <v>2012</v>
      </c>
      <c r="F998" t="s">
        <v>2016</v>
      </c>
      <c r="G998" t="s">
        <v>2018</v>
      </c>
      <c r="H998" t="s">
        <v>2023</v>
      </c>
      <c r="I998">
        <v>9</v>
      </c>
      <c r="J998" t="s">
        <v>2028</v>
      </c>
      <c r="K998" t="s">
        <v>2036</v>
      </c>
    </row>
    <row r="999" spans="1:11" x14ac:dyDescent="0.3">
      <c r="A999" s="6" t="s">
        <v>1008</v>
      </c>
      <c r="B999" t="s">
        <v>2004</v>
      </c>
      <c r="C999" t="s">
        <v>2007</v>
      </c>
      <c r="D999">
        <v>17</v>
      </c>
      <c r="E999" t="s">
        <v>2012</v>
      </c>
      <c r="F999" t="s">
        <v>2016</v>
      </c>
      <c r="G999" t="s">
        <v>2019</v>
      </c>
      <c r="H999" t="s">
        <v>2024</v>
      </c>
      <c r="I999">
        <v>81</v>
      </c>
      <c r="J999" t="s">
        <v>2030</v>
      </c>
      <c r="K999" t="s">
        <v>2035</v>
      </c>
    </row>
    <row r="1000" spans="1:11" x14ac:dyDescent="0.3">
      <c r="A1000" s="6" t="s">
        <v>1009</v>
      </c>
      <c r="B1000" t="s">
        <v>2005</v>
      </c>
      <c r="C1000" t="s">
        <v>2008</v>
      </c>
      <c r="D1000">
        <v>17</v>
      </c>
      <c r="E1000" t="s">
        <v>2013</v>
      </c>
      <c r="F1000" t="s">
        <v>2016</v>
      </c>
      <c r="G1000" t="s">
        <v>2020</v>
      </c>
      <c r="H1000" t="s">
        <v>2023</v>
      </c>
      <c r="I1000">
        <v>32</v>
      </c>
      <c r="J1000" t="s">
        <v>2034</v>
      </c>
      <c r="K1000" t="s">
        <v>2036</v>
      </c>
    </row>
    <row r="1001" spans="1:11" x14ac:dyDescent="0.3">
      <c r="A1001" s="6" t="s">
        <v>1010</v>
      </c>
      <c r="B1001" t="s">
        <v>2006</v>
      </c>
      <c r="C1001" t="s">
        <v>2007</v>
      </c>
      <c r="D1001">
        <v>14</v>
      </c>
      <c r="E1001" t="s">
        <v>2010</v>
      </c>
      <c r="F1001" t="s">
        <v>2015</v>
      </c>
      <c r="G1001" t="s">
        <v>2019</v>
      </c>
      <c r="H1001" t="s">
        <v>2024</v>
      </c>
      <c r="I1001">
        <v>52</v>
      </c>
      <c r="J1001" t="s">
        <v>2025</v>
      </c>
      <c r="K1001" t="s">
        <v>2035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AE8D0-45BA-4DDA-A1EC-0965540D5C02}">
  <dimension ref="A1:CG151"/>
  <sheetViews>
    <sheetView topLeftCell="M24" workbookViewId="0">
      <selection activeCell="O153" sqref="O153"/>
    </sheetView>
  </sheetViews>
  <sheetFormatPr defaultRowHeight="14.4" x14ac:dyDescent="0.3"/>
  <cols>
    <col min="2" max="2" width="26.6640625" bestFit="1" customWidth="1"/>
    <col min="3" max="3" width="15.33203125" bestFit="1" customWidth="1"/>
    <col min="4" max="4" width="17.88671875" bestFit="1" customWidth="1"/>
    <col min="7" max="7" width="12.5546875" bestFit="1" customWidth="1"/>
    <col min="8" max="8" width="12.109375" bestFit="1" customWidth="1"/>
    <col min="12" max="12" width="12.5546875" bestFit="1" customWidth="1"/>
    <col min="13" max="13" width="17.88671875" bestFit="1" customWidth="1"/>
    <col min="14" max="14" width="12.5546875" bestFit="1" customWidth="1"/>
    <col min="15" max="15" width="17.88671875" bestFit="1" customWidth="1"/>
    <col min="17" max="17" width="12.5546875" bestFit="1" customWidth="1"/>
    <col min="18" max="19" width="15.33203125" bestFit="1" customWidth="1"/>
    <col min="22" max="22" width="12.5546875" bestFit="1" customWidth="1"/>
    <col min="23" max="23" width="17.88671875" bestFit="1" customWidth="1"/>
    <col min="24" max="24" width="7" bestFit="1" customWidth="1"/>
    <col min="25" max="26" width="3" bestFit="1" customWidth="1"/>
    <col min="27" max="29" width="2" bestFit="1" customWidth="1"/>
    <col min="30" max="122" width="3" bestFit="1" customWidth="1"/>
    <col min="123" max="123" width="4" bestFit="1" customWidth="1"/>
    <col min="124" max="124" width="10.77734375" bestFit="1" customWidth="1"/>
  </cols>
  <sheetData>
    <row r="1" spans="1:24" x14ac:dyDescent="0.3">
      <c r="E1" s="3"/>
      <c r="J1" s="3"/>
      <c r="P1" s="3"/>
      <c r="V1" s="4" t="s">
        <v>10</v>
      </c>
      <c r="W1" t="s">
        <v>2035</v>
      </c>
    </row>
    <row r="2" spans="1:24" x14ac:dyDescent="0.3">
      <c r="E2" s="3"/>
      <c r="J2" s="3"/>
      <c r="P2" s="3"/>
    </row>
    <row r="3" spans="1:24" x14ac:dyDescent="0.3">
      <c r="E3" s="3"/>
      <c r="J3" s="3"/>
      <c r="P3" s="3"/>
      <c r="V3" t="s">
        <v>2043</v>
      </c>
    </row>
    <row r="4" spans="1:24" x14ac:dyDescent="0.3">
      <c r="E4" s="3"/>
      <c r="H4" t="s">
        <v>2047</v>
      </c>
      <c r="J4" s="3"/>
      <c r="K4" t="s">
        <v>2049</v>
      </c>
      <c r="L4" s="7">
        <f>GETPIVOTDATA("Student ID",$M$6)/1000</f>
        <v>0.501</v>
      </c>
      <c r="M4" s="4" t="s">
        <v>10</v>
      </c>
      <c r="N4" t="s">
        <v>2035</v>
      </c>
      <c r="P4" s="3"/>
      <c r="V4" s="9">
        <v>501</v>
      </c>
      <c r="X4" s="7">
        <f>GETPIVOTDATA("Student ID",$V$3)/1000</f>
        <v>0.501</v>
      </c>
    </row>
    <row r="5" spans="1:24" x14ac:dyDescent="0.3">
      <c r="E5" s="3"/>
      <c r="H5" s="9">
        <v>75.614770459081839</v>
      </c>
      <c r="J5" s="3"/>
      <c r="P5" s="3"/>
      <c r="Q5" s="4" t="s">
        <v>2044</v>
      </c>
      <c r="R5" t="s">
        <v>2047</v>
      </c>
    </row>
    <row r="6" spans="1:24" x14ac:dyDescent="0.3">
      <c r="E6" s="3"/>
      <c r="J6" s="3"/>
      <c r="M6" t="s">
        <v>2043</v>
      </c>
      <c r="P6" s="3"/>
      <c r="Q6" s="5" t="s">
        <v>2022</v>
      </c>
      <c r="R6" s="9">
        <v>75.17</v>
      </c>
    </row>
    <row r="7" spans="1:24" x14ac:dyDescent="0.3">
      <c r="E7" s="3"/>
      <c r="G7" s="6">
        <f>GETPIVOTDATA("Score",$H$4)</f>
        <v>75.614770459081839</v>
      </c>
      <c r="J7" s="3"/>
      <c r="M7" s="9">
        <v>501</v>
      </c>
      <c r="P7" s="3"/>
      <c r="Q7" s="5" t="s">
        <v>2019</v>
      </c>
      <c r="R7" s="9">
        <v>75.577319587628864</v>
      </c>
    </row>
    <row r="8" spans="1:24" x14ac:dyDescent="0.3">
      <c r="C8" t="s">
        <v>2043</v>
      </c>
      <c r="E8" s="3"/>
      <c r="G8" s="6"/>
      <c r="J8" s="3"/>
      <c r="K8" t="s">
        <v>2048</v>
      </c>
      <c r="L8" s="7">
        <f>GETPIVOTDATA("Student ID",$M$6)/1000</f>
        <v>0.501</v>
      </c>
      <c r="P8" s="3"/>
      <c r="Q8" s="5" t="s">
        <v>2021</v>
      </c>
      <c r="R8" s="9">
        <v>75.336842105263159</v>
      </c>
    </row>
    <row r="9" spans="1:24" x14ac:dyDescent="0.3">
      <c r="C9" s="9">
        <v>501</v>
      </c>
      <c r="E9" s="3"/>
      <c r="J9" s="3"/>
      <c r="P9" s="3"/>
      <c r="Q9" s="5" t="s">
        <v>2020</v>
      </c>
      <c r="R9" s="9">
        <v>77.613207547169807</v>
      </c>
    </row>
    <row r="10" spans="1:24" x14ac:dyDescent="0.3">
      <c r="B10">
        <f>GETPIVOTDATA("Student ID",$C$8)</f>
        <v>501</v>
      </c>
      <c r="E10" s="3"/>
      <c r="J10" s="3"/>
      <c r="P10" s="3"/>
      <c r="Q10" s="5" t="s">
        <v>2018</v>
      </c>
      <c r="R10" s="9">
        <v>74.28155339805825</v>
      </c>
    </row>
    <row r="11" spans="1:24" x14ac:dyDescent="0.3">
      <c r="E11" s="3"/>
      <c r="J11" s="3"/>
      <c r="P11" s="3"/>
      <c r="Q11" s="5" t="s">
        <v>2045</v>
      </c>
      <c r="R11" s="9">
        <v>75.614770459081839</v>
      </c>
    </row>
    <row r="12" spans="1:24" x14ac:dyDescent="0.3">
      <c r="A12" s="3"/>
      <c r="B12" s="3"/>
      <c r="C12" s="3"/>
      <c r="D12" s="3"/>
      <c r="E12" s="3"/>
      <c r="F12" s="3"/>
      <c r="G12" s="3"/>
      <c r="H12" s="3"/>
      <c r="I12" s="3"/>
      <c r="J12" s="3"/>
      <c r="K12" s="3"/>
      <c r="L12" s="3"/>
      <c r="M12" s="3"/>
      <c r="N12" s="3"/>
      <c r="O12" s="3"/>
      <c r="P12" s="3"/>
      <c r="Q12" s="3"/>
      <c r="R12" s="3"/>
      <c r="S12" s="3"/>
    </row>
    <row r="13" spans="1:24" x14ac:dyDescent="0.3">
      <c r="A13" s="3"/>
      <c r="B13" s="3"/>
      <c r="C13" s="3"/>
      <c r="D13" s="3"/>
      <c r="E13" s="3"/>
      <c r="F13" s="3"/>
      <c r="G13" s="3"/>
      <c r="H13" s="3"/>
      <c r="I13" s="3"/>
      <c r="J13" s="3"/>
      <c r="K13" s="3"/>
      <c r="L13" s="3"/>
      <c r="M13" s="3"/>
      <c r="N13" s="3"/>
      <c r="O13" s="3"/>
      <c r="P13" s="3"/>
      <c r="Q13" s="3"/>
      <c r="R13" s="3"/>
      <c r="S13" s="3"/>
      <c r="V13" s="4" t="s">
        <v>2044</v>
      </c>
      <c r="W13" t="s">
        <v>2043</v>
      </c>
    </row>
    <row r="14" spans="1:24" x14ac:dyDescent="0.3">
      <c r="E14" s="3"/>
      <c r="J14" s="3"/>
      <c r="P14" s="3"/>
      <c r="V14" s="5" t="s">
        <v>2054</v>
      </c>
      <c r="W14" s="9">
        <v>104</v>
      </c>
    </row>
    <row r="15" spans="1:24" x14ac:dyDescent="0.3">
      <c r="E15" s="3"/>
      <c r="J15" s="3"/>
      <c r="P15" s="3"/>
      <c r="V15" s="5" t="s">
        <v>2053</v>
      </c>
      <c r="W15" s="9">
        <v>85</v>
      </c>
    </row>
    <row r="16" spans="1:24" x14ac:dyDescent="0.3">
      <c r="B16" s="4" t="s">
        <v>2044</v>
      </c>
      <c r="C16" t="s">
        <v>2047</v>
      </c>
      <c r="E16" s="3"/>
      <c r="G16" s="4" t="s">
        <v>2044</v>
      </c>
      <c r="H16" t="s">
        <v>2046</v>
      </c>
      <c r="J16" s="3"/>
      <c r="P16" s="3"/>
      <c r="Q16" s="4" t="s">
        <v>2044</v>
      </c>
      <c r="R16" t="s">
        <v>2047</v>
      </c>
      <c r="V16" s="5" t="s">
        <v>2052</v>
      </c>
      <c r="W16" s="9">
        <v>88</v>
      </c>
    </row>
    <row r="17" spans="2:23" x14ac:dyDescent="0.3">
      <c r="B17" s="5" t="s">
        <v>2009</v>
      </c>
      <c r="C17" s="9">
        <v>75.227272727272734</v>
      </c>
      <c r="E17" s="3"/>
      <c r="G17" s="5" t="s">
        <v>2017</v>
      </c>
      <c r="H17" s="9">
        <v>9671</v>
      </c>
      <c r="J17" s="3"/>
      <c r="P17" s="3"/>
      <c r="Q17" s="5" t="s">
        <v>2023</v>
      </c>
      <c r="R17" s="9">
        <v>75.146341463414629</v>
      </c>
      <c r="V17" s="5" t="s">
        <v>2051</v>
      </c>
      <c r="W17" s="9">
        <v>98</v>
      </c>
    </row>
    <row r="18" spans="2:23" x14ac:dyDescent="0.3">
      <c r="B18" s="5" t="s">
        <v>2013</v>
      </c>
      <c r="C18" s="9">
        <v>76.3125</v>
      </c>
      <c r="E18" s="3"/>
      <c r="G18" s="5" t="s">
        <v>2016</v>
      </c>
      <c r="H18" s="9">
        <v>10786</v>
      </c>
      <c r="J18" s="3"/>
      <c r="P18" s="3"/>
      <c r="Q18" s="5" t="s">
        <v>2024</v>
      </c>
      <c r="R18" s="9">
        <v>76.066666666666663</v>
      </c>
      <c r="V18" s="5" t="s">
        <v>2050</v>
      </c>
      <c r="W18" s="9">
        <v>126</v>
      </c>
    </row>
    <row r="19" spans="2:23" x14ac:dyDescent="0.3">
      <c r="B19" s="5" t="s">
        <v>2012</v>
      </c>
      <c r="C19" s="9">
        <v>75.367346938775512</v>
      </c>
      <c r="E19" s="3"/>
      <c r="G19" s="5" t="s">
        <v>2014</v>
      </c>
      <c r="H19" s="9">
        <v>6709</v>
      </c>
      <c r="J19" s="3"/>
      <c r="L19" s="4" t="s">
        <v>2044</v>
      </c>
      <c r="M19" t="s">
        <v>2046</v>
      </c>
      <c r="P19" s="3"/>
      <c r="Q19" s="5" t="s">
        <v>2045</v>
      </c>
      <c r="R19" s="9">
        <v>75.614770459081839</v>
      </c>
      <c r="V19" s="5" t="s">
        <v>2045</v>
      </c>
      <c r="W19" s="9">
        <v>501</v>
      </c>
    </row>
    <row r="20" spans="2:23" x14ac:dyDescent="0.3">
      <c r="B20" s="5" t="s">
        <v>2010</v>
      </c>
      <c r="C20" s="9">
        <v>75.386138613861391</v>
      </c>
      <c r="E20" s="3"/>
      <c r="G20" s="5" t="s">
        <v>2015</v>
      </c>
      <c r="H20" s="9">
        <v>10717</v>
      </c>
      <c r="J20" s="3"/>
      <c r="L20" s="5" t="s">
        <v>2031</v>
      </c>
      <c r="M20" s="9">
        <v>3797</v>
      </c>
      <c r="P20" s="3"/>
    </row>
    <row r="21" spans="2:23" x14ac:dyDescent="0.3">
      <c r="B21" s="5" t="s">
        <v>2011</v>
      </c>
      <c r="C21" s="9">
        <v>75.737288135593218</v>
      </c>
      <c r="E21" s="3"/>
      <c r="G21" s="5" t="s">
        <v>2045</v>
      </c>
      <c r="H21" s="9">
        <v>37883</v>
      </c>
      <c r="J21" s="3"/>
      <c r="L21" s="5" t="s">
        <v>2030</v>
      </c>
      <c r="M21" s="9">
        <v>4554</v>
      </c>
      <c r="N21" s="3"/>
      <c r="P21" s="3"/>
    </row>
    <row r="22" spans="2:23" x14ac:dyDescent="0.3">
      <c r="B22" s="5" t="s">
        <v>2045</v>
      </c>
      <c r="C22" s="9">
        <v>75.614770459081839</v>
      </c>
      <c r="E22" s="3"/>
      <c r="J22" s="3"/>
      <c r="L22" s="5" t="s">
        <v>2033</v>
      </c>
      <c r="M22" s="9">
        <v>4773</v>
      </c>
      <c r="P22" s="3"/>
    </row>
    <row r="23" spans="2:23" x14ac:dyDescent="0.3">
      <c r="E23" s="3"/>
      <c r="J23" s="3"/>
      <c r="L23" s="5" t="s">
        <v>2029</v>
      </c>
      <c r="M23" s="9">
        <v>3692</v>
      </c>
      <c r="P23" s="3"/>
    </row>
    <row r="24" spans="2:23" x14ac:dyDescent="0.3">
      <c r="E24" s="3"/>
      <c r="J24" s="3"/>
      <c r="L24" s="5" t="s">
        <v>2027</v>
      </c>
      <c r="M24" s="9">
        <v>3576</v>
      </c>
      <c r="P24" s="3"/>
    </row>
    <row r="25" spans="2:23" x14ac:dyDescent="0.3">
      <c r="E25" s="3"/>
      <c r="J25" s="3"/>
      <c r="L25" s="5" t="s">
        <v>2026</v>
      </c>
      <c r="M25" s="9">
        <v>3518</v>
      </c>
      <c r="P25" s="3"/>
    </row>
    <row r="26" spans="2:23" x14ac:dyDescent="0.3">
      <c r="E26" s="3"/>
      <c r="J26" s="3"/>
      <c r="L26" s="5" t="s">
        <v>2025</v>
      </c>
      <c r="M26" s="9">
        <v>3752</v>
      </c>
      <c r="P26" s="3"/>
    </row>
    <row r="27" spans="2:23" x14ac:dyDescent="0.3">
      <c r="E27" s="3"/>
      <c r="J27" s="3"/>
      <c r="L27" s="5" t="s">
        <v>2034</v>
      </c>
      <c r="M27" s="9">
        <v>3889</v>
      </c>
      <c r="P27" s="3"/>
    </row>
    <row r="28" spans="2:23" x14ac:dyDescent="0.3">
      <c r="E28" s="3"/>
      <c r="J28" s="3"/>
      <c r="L28" s="5" t="s">
        <v>2032</v>
      </c>
      <c r="M28" s="9">
        <v>3527</v>
      </c>
      <c r="P28" s="3"/>
    </row>
    <row r="29" spans="2:23" x14ac:dyDescent="0.3">
      <c r="E29" s="3"/>
      <c r="J29" s="3"/>
      <c r="L29" s="5" t="s">
        <v>2028</v>
      </c>
      <c r="M29" s="9">
        <v>2805</v>
      </c>
      <c r="P29" s="3"/>
    </row>
    <row r="30" spans="2:23" x14ac:dyDescent="0.3">
      <c r="L30" s="5" t="s">
        <v>2045</v>
      </c>
      <c r="M30" s="9">
        <v>37883</v>
      </c>
    </row>
    <row r="33" spans="1:21" x14ac:dyDescent="0.3">
      <c r="A33" s="3"/>
      <c r="B33" s="3"/>
      <c r="C33" s="3"/>
      <c r="D33" s="3"/>
      <c r="E33" s="3"/>
      <c r="F33" s="3"/>
      <c r="G33" s="3"/>
      <c r="H33" s="3"/>
      <c r="I33" s="3"/>
      <c r="J33" s="3"/>
      <c r="K33" s="3"/>
      <c r="L33" s="3"/>
      <c r="M33" s="3"/>
      <c r="N33" s="3"/>
      <c r="O33" s="3"/>
      <c r="P33" s="3"/>
      <c r="Q33" s="3"/>
      <c r="R33" s="3"/>
      <c r="S33" s="3"/>
      <c r="T33" s="3"/>
      <c r="U33" s="3"/>
    </row>
    <row r="34" spans="1:21" x14ac:dyDescent="0.3">
      <c r="E34" s="3"/>
      <c r="J34" s="3"/>
      <c r="P34" s="3"/>
    </row>
    <row r="35" spans="1:21" x14ac:dyDescent="0.3">
      <c r="E35" s="3"/>
      <c r="J35" s="3"/>
      <c r="P35" s="3"/>
    </row>
    <row r="36" spans="1:21" x14ac:dyDescent="0.3">
      <c r="E36" s="3"/>
      <c r="J36" s="3"/>
      <c r="P36" s="3"/>
    </row>
    <row r="37" spans="1:21" x14ac:dyDescent="0.3">
      <c r="E37" s="3"/>
      <c r="J37" s="3"/>
      <c r="P37" s="3"/>
    </row>
    <row r="38" spans="1:21" x14ac:dyDescent="0.3">
      <c r="E38" s="3"/>
      <c r="J38" s="3"/>
      <c r="P38" s="3"/>
    </row>
    <row r="39" spans="1:21" x14ac:dyDescent="0.3">
      <c r="E39" s="3"/>
      <c r="J39" s="3"/>
      <c r="L39" s="4" t="s">
        <v>2044</v>
      </c>
      <c r="M39" t="s">
        <v>2043</v>
      </c>
      <c r="P39" s="3"/>
    </row>
    <row r="40" spans="1:21" x14ac:dyDescent="0.3">
      <c r="E40" s="3"/>
      <c r="J40" s="3"/>
      <c r="L40" s="5" t="s">
        <v>2054</v>
      </c>
      <c r="M40" s="9">
        <v>104</v>
      </c>
      <c r="P40" s="3"/>
    </row>
    <row r="41" spans="1:21" x14ac:dyDescent="0.3">
      <c r="E41" s="3"/>
      <c r="J41" s="3"/>
      <c r="L41" s="5" t="s">
        <v>2053</v>
      </c>
      <c r="M41" s="9">
        <v>85</v>
      </c>
      <c r="P41" s="3"/>
    </row>
    <row r="42" spans="1:21" x14ac:dyDescent="0.3">
      <c r="E42" s="3"/>
      <c r="J42" s="3"/>
      <c r="L42" s="5" t="s">
        <v>2052</v>
      </c>
      <c r="M42" s="9">
        <v>88</v>
      </c>
      <c r="P42" s="3"/>
    </row>
    <row r="43" spans="1:21" x14ac:dyDescent="0.3">
      <c r="E43" s="3"/>
      <c r="J43" s="3"/>
      <c r="L43" s="5" t="s">
        <v>2051</v>
      </c>
      <c r="M43" s="9">
        <v>98</v>
      </c>
      <c r="P43" s="3"/>
    </row>
    <row r="44" spans="1:21" x14ac:dyDescent="0.3">
      <c r="E44" s="3"/>
      <c r="J44" s="3"/>
      <c r="L44" s="5" t="s">
        <v>2050</v>
      </c>
      <c r="M44" s="9">
        <v>126</v>
      </c>
      <c r="P44" s="3"/>
    </row>
    <row r="45" spans="1:21" x14ac:dyDescent="0.3">
      <c r="E45" s="3"/>
      <c r="J45" s="3"/>
      <c r="L45" s="5" t="s">
        <v>2045</v>
      </c>
      <c r="M45" s="9">
        <v>501</v>
      </c>
      <c r="P45" s="3"/>
    </row>
    <row r="46" spans="1:21" x14ac:dyDescent="0.3">
      <c r="E46" s="3"/>
      <c r="J46" s="3"/>
      <c r="P46" s="3"/>
    </row>
    <row r="47" spans="1:21" x14ac:dyDescent="0.3">
      <c r="E47" s="3"/>
      <c r="J47" s="3"/>
      <c r="P47" s="3"/>
    </row>
    <row r="48" spans="1:21" x14ac:dyDescent="0.3">
      <c r="E48" s="3"/>
      <c r="J48" s="3"/>
      <c r="P48" s="3"/>
    </row>
    <row r="49" spans="5:16" x14ac:dyDescent="0.3">
      <c r="E49" s="3"/>
      <c r="J49" s="3"/>
      <c r="P49" s="3"/>
    </row>
    <row r="50" spans="5:16" x14ac:dyDescent="0.3">
      <c r="E50" s="3"/>
      <c r="J50" s="3"/>
      <c r="P50" s="3"/>
    </row>
    <row r="51" spans="5:16" x14ac:dyDescent="0.3">
      <c r="E51" s="3"/>
      <c r="J51" s="3"/>
      <c r="P51" s="3"/>
    </row>
    <row r="52" spans="5:16" x14ac:dyDescent="0.3">
      <c r="E52" s="3"/>
      <c r="J52" s="3"/>
      <c r="P52" s="3"/>
    </row>
    <row r="53" spans="5:16" x14ac:dyDescent="0.3">
      <c r="E53" s="3"/>
      <c r="J53" s="3"/>
      <c r="P53" s="3"/>
    </row>
    <row r="54" spans="5:16" x14ac:dyDescent="0.3">
      <c r="E54" s="3"/>
      <c r="J54" s="3"/>
      <c r="P54" s="3"/>
    </row>
    <row r="55" spans="5:16" x14ac:dyDescent="0.3">
      <c r="E55" s="3"/>
      <c r="J55" s="3"/>
      <c r="P55" s="3"/>
    </row>
    <row r="56" spans="5:16" x14ac:dyDescent="0.3">
      <c r="E56" s="3"/>
      <c r="J56" s="3"/>
      <c r="P56" s="3"/>
    </row>
    <row r="57" spans="5:16" x14ac:dyDescent="0.3">
      <c r="E57" s="3"/>
      <c r="J57" s="3"/>
      <c r="P57" s="3"/>
    </row>
    <row r="58" spans="5:16" x14ac:dyDescent="0.3">
      <c r="E58" s="3"/>
      <c r="J58" s="3"/>
      <c r="P58" s="3"/>
    </row>
    <row r="59" spans="5:16" x14ac:dyDescent="0.3">
      <c r="E59" s="3"/>
      <c r="J59" s="3"/>
      <c r="P59" s="3"/>
    </row>
    <row r="60" spans="5:16" x14ac:dyDescent="0.3">
      <c r="E60" s="3"/>
      <c r="J60" s="3"/>
      <c r="P60" s="3"/>
    </row>
    <row r="61" spans="5:16" x14ac:dyDescent="0.3">
      <c r="J61" s="3"/>
      <c r="P61" s="3"/>
    </row>
    <row r="62" spans="5:16" x14ac:dyDescent="0.3">
      <c r="P62" s="3"/>
    </row>
    <row r="63" spans="5:16" x14ac:dyDescent="0.3">
      <c r="P63" s="3"/>
    </row>
    <row r="135" spans="1:85" x14ac:dyDescent="0.3">
      <c r="A135" s="8"/>
      <c r="B135" s="8"/>
      <c r="C135" s="8"/>
      <c r="D135" s="8"/>
      <c r="E135" s="8"/>
      <c r="F135" s="8"/>
      <c r="G135" s="8"/>
      <c r="H135" s="8"/>
      <c r="I135" s="8"/>
      <c r="J135" s="8"/>
      <c r="K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row>
    <row r="136" spans="1:85" x14ac:dyDescent="0.3">
      <c r="A136" s="8"/>
      <c r="B136" s="8"/>
      <c r="C136" s="8"/>
      <c r="D136" s="8"/>
      <c r="E136" s="8"/>
      <c r="F136" s="8"/>
      <c r="G136" s="8"/>
      <c r="H136" s="8"/>
      <c r="I136" s="8"/>
      <c r="J136" s="8"/>
      <c r="K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row>
    <row r="140" spans="1:85" x14ac:dyDescent="0.3">
      <c r="C140" s="4" t="s">
        <v>2044</v>
      </c>
      <c r="D140" t="s">
        <v>2043</v>
      </c>
      <c r="N140" s="4" t="s">
        <v>2044</v>
      </c>
      <c r="O140" t="s">
        <v>2043</v>
      </c>
    </row>
    <row r="141" spans="1:85" x14ac:dyDescent="0.3">
      <c r="C141" s="5" t="s">
        <v>2050</v>
      </c>
      <c r="D141" s="9">
        <v>126</v>
      </c>
      <c r="N141" s="5" t="s">
        <v>2036</v>
      </c>
      <c r="O141" s="9">
        <v>499</v>
      </c>
    </row>
    <row r="142" spans="1:85" x14ac:dyDescent="0.3">
      <c r="C142" s="5" t="s">
        <v>2051</v>
      </c>
      <c r="D142" s="9">
        <v>98</v>
      </c>
      <c r="N142" s="5" t="s">
        <v>2035</v>
      </c>
      <c r="O142" s="9">
        <v>501</v>
      </c>
    </row>
    <row r="143" spans="1:85" x14ac:dyDescent="0.3">
      <c r="C143" s="5" t="s">
        <v>2052</v>
      </c>
      <c r="D143" s="9">
        <v>88</v>
      </c>
      <c r="N143" s="5" t="s">
        <v>2045</v>
      </c>
      <c r="O143" s="9">
        <v>1000</v>
      </c>
    </row>
    <row r="144" spans="1:85" x14ac:dyDescent="0.3">
      <c r="C144" s="5" t="s">
        <v>2053</v>
      </c>
      <c r="D144" s="9">
        <v>85</v>
      </c>
    </row>
    <row r="145" spans="3:15" x14ac:dyDescent="0.3">
      <c r="C145" s="5" t="s">
        <v>2054</v>
      </c>
      <c r="D145" s="9">
        <v>104</v>
      </c>
    </row>
    <row r="146" spans="3:15" x14ac:dyDescent="0.3">
      <c r="C146" s="5" t="s">
        <v>2055</v>
      </c>
      <c r="D146" s="9">
        <v>76</v>
      </c>
    </row>
    <row r="147" spans="3:15" x14ac:dyDescent="0.3">
      <c r="C147" s="5" t="s">
        <v>2056</v>
      </c>
      <c r="D147" s="9">
        <v>101</v>
      </c>
    </row>
    <row r="148" spans="3:15" x14ac:dyDescent="0.3">
      <c r="C148" s="5" t="s">
        <v>2057</v>
      </c>
      <c r="D148" s="9">
        <v>113</v>
      </c>
      <c r="N148" t="s">
        <v>2048</v>
      </c>
      <c r="O148" s="7">
        <f>GETPIVOTDATA("Student ID",$N$140,"Pass","Yes")/1000</f>
        <v>0.501</v>
      </c>
    </row>
    <row r="149" spans="3:15" x14ac:dyDescent="0.3">
      <c r="C149" s="5" t="s">
        <v>2058</v>
      </c>
      <c r="D149" s="9">
        <v>114</v>
      </c>
    </row>
    <row r="150" spans="3:15" x14ac:dyDescent="0.3">
      <c r="C150" s="5" t="s">
        <v>2059</v>
      </c>
      <c r="D150" s="9">
        <v>95</v>
      </c>
      <c r="N150" t="s">
        <v>2049</v>
      </c>
      <c r="O150" s="7">
        <f>GETPIVOTDATA("Student ID",$N$140,"Pass","No")/1000</f>
        <v>0.499</v>
      </c>
    </row>
    <row r="151" spans="3:15" x14ac:dyDescent="0.3">
      <c r="C151" s="5" t="s">
        <v>2045</v>
      </c>
      <c r="D151" s="9">
        <v>1000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B77F-2D4E-4C07-8F3B-CB9F57127EB1}">
  <dimension ref="A1"/>
  <sheetViews>
    <sheetView showGridLines="0" tabSelected="1" workbookViewId="0">
      <selection activeCell="B23" sqref="B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Abdel-Alim wagih</dc:creator>
  <cp:lastModifiedBy>Abdel-Alim Wagih</cp:lastModifiedBy>
  <dcterms:created xsi:type="dcterms:W3CDTF">2025-05-02T16:07:33Z</dcterms:created>
  <dcterms:modified xsi:type="dcterms:W3CDTF">2026-08-10T20:20:43Z</dcterms:modified>
</cp:coreProperties>
</file>